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Допущения" sheetId="2" state="visible" r:id="rId4"/>
    <sheet name="Проект" sheetId="3" state="visible" r:id="rId5"/>
    <sheet name="Сценарии" sheetId="4" state="visible" r:id="rId6"/>
    <sheet name="Фонд" sheetId="5" state="visible" r:id="rId7"/>
    <sheet name="Бюджет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Переключатель сценария. 1 — базовый, 2 — текущий спот, 3 — пессимистичный.</t>
        </r>
      </text>
    </comment>
  </commentList>
</comments>
</file>

<file path=xl/sharedStrings.xml><?xml version="1.0" encoding="utf-8"?>
<sst xmlns="http://schemas.openxmlformats.org/spreadsheetml/2006/main" count="419" uniqueCount="358">
  <si>
    <t xml:space="preserve">ФИНАНСОВАЯ МОДЕЛЬ: горнорудный инвестиционный офис (Казахстан)</t>
  </si>
  <si>
    <t xml:space="preserve">Назначение</t>
  </si>
  <si>
    <t xml:space="preserve">Модель для двух решений: (1) стоит ли сделка по хвостохранилищу за $8M, (2) какая экономика у фонда $30M. Все входные параметры собраны на листе «Допущения».</t>
  </si>
  <si>
    <t xml:space="preserve">КАК ПОЛЬЗОВАТЬСЯ</t>
  </si>
  <si>
    <t xml:space="preserve">Шаг 1</t>
  </si>
  <si>
    <t xml:space="preserve">Откройте лист «Допущения». Меняйте ТОЛЬКО ячейки с синим шрифтом на жёлтом фоне.</t>
  </si>
  <si>
    <t xml:space="preserve">Шаг 2</t>
  </si>
  <si>
    <t xml:space="preserve">Лист «Проект» пересчитается автоматически: денежный поток по годам, NPV, IRR, мультипликатор.</t>
  </si>
  <si>
    <t xml:space="preserve">Шаг 3</t>
  </si>
  <si>
    <t xml:space="preserve">Лист «Сценарии» показывает три ценовых сценария рядом и таблицу чувствительности к цене золота и извлечению.</t>
  </si>
  <si>
    <t xml:space="preserve">Шаг 4</t>
  </si>
  <si>
    <t xml:space="preserve">Лист «Фонд» — экономика фонда $30M: комиссии, waterfall, carry, доходность LP и GP.</t>
  </si>
  <si>
    <t xml:space="preserve">Шаг 5</t>
  </si>
  <si>
    <t xml:space="preserve">Лист «Бюджет» — разовые и операционные расходы офиса, зарплаты команды.</t>
  </si>
  <si>
    <t xml:space="preserve">ЦВЕТОВОЙ КОД</t>
  </si>
  <si>
    <t xml:space="preserve">Синий шрифт</t>
  </si>
  <si>
    <t xml:space="preserve">Введённое значение — можно и нужно менять.</t>
  </si>
  <si>
    <t xml:space="preserve">Чёрный шрифт</t>
  </si>
  <si>
    <t xml:space="preserve">Формула — не трогать.</t>
  </si>
  <si>
    <t xml:space="preserve">Зелёный шрифт</t>
  </si>
  <si>
    <t xml:space="preserve">Ссылка на другой лист — не трогать.</t>
  </si>
  <si>
    <t xml:space="preserve">Жёлтая заливка</t>
  </si>
  <si>
    <t xml:space="preserve">Ключевое допущение, которое сильнее всего влияет на результат.</t>
  </si>
  <si>
    <t xml:space="preserve">ПРЕДУПРЕЖДЕНИЕ</t>
  </si>
  <si>
    <t xml:space="preserve">Статус данных</t>
  </si>
  <si>
    <t xml:space="preserve">ВСЕ параметры хвостохранилища (объём, содержания, извлечение, CAPEX, OPEX) — ИЛЛЮСТРАТИВНЫЕ ПЛЕЙСХОЛДЕРЫ. Они НЕ основаны на данных по вашему объекту и НЕ МОГУТ показываться инвестору как факт.</t>
  </si>
  <si>
    <t xml:space="preserve">Что делать</t>
  </si>
  <si>
    <t xml:space="preserve">Заменить их результатами собственного опробования, металлургических тестов и отчёта Компетентного лица (KAZRC / JORC). До этого модель показывает только структуру и чувствительность, а не стоимость актива.</t>
  </si>
  <si>
    <t xml:space="preserve">Цены металлов</t>
  </si>
  <si>
    <t xml:space="preserve">Спот на 10.08.2026: золото $4 376/унц., серебро $65,86/унц. Это исторически экстремальные уровни. Базовый сценарий сознательно консервативен.</t>
  </si>
  <si>
    <t xml:space="preserve">Налоги</t>
  </si>
  <si>
    <t xml:space="preserve">Учтён коэффициент 0,1 к НДПИ для ТМО (ст. 783 НК РК, с 01.01.2026) и опция соглашения о переработке ТПИ (гл. 84 НК РК: КПН = 0 на 10 лет). Применимость обеих льгот к вашей конфигурации требует письменного заключения налогового консультанта.</t>
  </si>
  <si>
    <t xml:space="preserve">Источники</t>
  </si>
  <si>
    <t xml:space="preserve">Полный список источников — в документе 02-podrobnyy-plan.md, раздел 14.3.</t>
  </si>
  <si>
    <t xml:space="preserve">ДОПУЩЕНИЯ — единственный лист, который вы редактируете</t>
  </si>
  <si>
    <t xml:space="preserve">Параметр</t>
  </si>
  <si>
    <t xml:space="preserve">Значение</t>
  </si>
  <si>
    <t xml:space="preserve">Ед.</t>
  </si>
  <si>
    <t xml:space="preserve">Комментарий / источник</t>
  </si>
  <si>
    <t xml:space="preserve">1. ЦЕНЫ МЕТАЛЛОВ И МАКРО</t>
  </si>
  <si>
    <t xml:space="preserve">Цена золота — базовый сценарий</t>
  </si>
  <si>
    <t xml:space="preserve">$/унц.</t>
  </si>
  <si>
    <t xml:space="preserve">Консервативно к споту. Это цифра для разговора с инвестором.</t>
  </si>
  <si>
    <t xml:space="preserve">Цена золота — спот 10.08.2026</t>
  </si>
  <si>
    <t xml:space="preserve">Факт: Trading Economics / JM Bullion, 10.08.2026.</t>
  </si>
  <si>
    <t xml:space="preserve">Цена золота — пессимистичный</t>
  </si>
  <si>
    <t xml:space="preserve">Стресс-сценарий.</t>
  </si>
  <si>
    <t xml:space="preserve">Цена серебра — базовый</t>
  </si>
  <si>
    <t xml:space="preserve">Консервативно к споту $65,86.</t>
  </si>
  <si>
    <t xml:space="preserve">Цена серебра — спот 10.08.2026</t>
  </si>
  <si>
    <t xml:space="preserve">Факт на 10.08.2026.</t>
  </si>
  <si>
    <t xml:space="preserve">Цена серебра — пессимистичный</t>
  </si>
  <si>
    <t xml:space="preserve">Курс KZT/USD</t>
  </si>
  <si>
    <t xml:space="preserve">₸/$</t>
  </si>
  <si>
    <t xml:space="preserve">Официальный курс НБ РК, август 2026 (~473,6).</t>
  </si>
  <si>
    <t xml:space="preserve">МРП 2026</t>
  </si>
  <si>
    <t xml:space="preserve">₸</t>
  </si>
  <si>
    <t xml:space="preserve">Закон о республиканском бюджете на 2026–2028 гг.</t>
  </si>
  <si>
    <t xml:space="preserve">Тройских унций в килограмме</t>
  </si>
  <si>
    <t xml:space="preserve">унц./кг</t>
  </si>
  <si>
    <t xml:space="preserve">Константа. Не менять.</t>
  </si>
  <si>
    <t xml:space="preserve">2. ХВОСТОХРАНИЛИЩЕ — РЕСУРС И ПЕРЕРАБОТКА  ⚠ ВСЁ НИЖЕ — ПЛЕЙСХОЛДЕРЫ</t>
  </si>
  <si>
    <t xml:space="preserve">Объём хвостов</t>
  </si>
  <si>
    <t xml:space="preserve">тыс. т</t>
  </si>
  <si>
    <t xml:space="preserve">ЗАМЕНИТЬ данными топосъёмки и бурения.</t>
  </si>
  <si>
    <t xml:space="preserve">Содержание золота</t>
  </si>
  <si>
    <t xml:space="preserve">г/т</t>
  </si>
  <si>
    <t xml:space="preserve">ЗАМЕНИТЬ данными собственного опробования.</t>
  </si>
  <si>
    <t xml:space="preserve">Содержание серебра</t>
  </si>
  <si>
    <t xml:space="preserve">Извлечение золота</t>
  </si>
  <si>
    <t xml:space="preserve">%</t>
  </si>
  <si>
    <t xml:space="preserve">САМЫЙ ЧУВСТВИТЕЛЬНЫЙ ПАРАМЕТР. Только металлургические тесты на своих пробах.</t>
  </si>
  <si>
    <t xml:space="preserve">Извлечение серебра</t>
  </si>
  <si>
    <t xml:space="preserve">Из хвостов серебро извлекается заметно хуже золота.</t>
  </si>
  <si>
    <t xml:space="preserve">Производительность фабрики</t>
  </si>
  <si>
    <t xml:space="preserve">тыс.т/г</t>
  </si>
  <si>
    <t xml:space="preserve">Задаёт срок проекта: объём / производительность.</t>
  </si>
  <si>
    <t xml:space="preserve">CAPEX (фабрика, пруд, инфраструктура)</t>
  </si>
  <si>
    <t xml:space="preserve">$ тыс.</t>
  </si>
  <si>
    <t xml:space="preserve">Хвосты уже измельчены — дробление и помол не нужны, это главная экономия против гринфилда.</t>
  </si>
  <si>
    <t xml:space="preserve">OPEX</t>
  </si>
  <si>
    <t xml:space="preserve">$/т</t>
  </si>
  <si>
    <t xml:space="preserve">Реагенты, энергия, персонал, перекачка пульпы.</t>
  </si>
  <si>
    <t xml:space="preserve">Цена покупки актива</t>
  </si>
  <si>
    <t xml:space="preserve">Заявленная продавцом цена сделки.</t>
  </si>
  <si>
    <t xml:space="preserve">Бюджет due diligence</t>
  </si>
  <si>
    <t xml:space="preserve">Бурение, пробы, металлургия, CPR, юр./эколог. проверка. 1–2% от суммы сделки.</t>
  </si>
  <si>
    <t xml:space="preserve">G&amp;A + рекультивация за весь проект</t>
  </si>
  <si>
    <t xml:space="preserve">Административные расходы плюс обязательства по закрытию.</t>
  </si>
  <si>
    <t xml:space="preserve">3. НАЛОГИ КАЗАХСТАНА</t>
  </si>
  <si>
    <t xml:space="preserve">Базовая ставка НДПИ (золото/серебро)</t>
  </si>
  <si>
    <t xml:space="preserve">С 2026 прогрессивная шкала 7,5–11% в зависимости от цены. При текущих ценах — верх шкалы.</t>
  </si>
  <si>
    <t xml:space="preserve">Коэффициент НДПИ для ТМО</t>
  </si>
  <si>
    <t xml:space="preserve">коэф.</t>
  </si>
  <si>
    <t xml:space="preserve">Ст. 783 НК РК с 01.01.2026: НДПИ на ископаемые из ТМО снижен в 10 раз. Объект обложения — реализованные, а не добытые.</t>
  </si>
  <si>
    <t xml:space="preserve">Ставка КПН</t>
  </si>
  <si>
    <t xml:space="preserve">Корпоративный подоходный налог РК.</t>
  </si>
  <si>
    <t xml:space="preserve">Соглашение о переработке ТПИ (1=да)</t>
  </si>
  <si>
    <t xml:space="preserve">флаг</t>
  </si>
  <si>
    <t xml:space="preserve">Гл. 84 НК РК: освобождение от КПН и земельного налога на 10 лет, налога на имущество на 8 лет, НДС и пошлин на импорт оборудования. Поставьте 1, чтобы увидеть эффект.</t>
  </si>
  <si>
    <t xml:space="preserve">Ставка дисконтирования</t>
  </si>
  <si>
    <t xml:space="preserve">Для NPV проекта. Для горного проекта в РК разумный диапазон 10–15%.</t>
  </si>
  <si>
    <t xml:space="preserve">4. ФОНД</t>
  </si>
  <si>
    <t xml:space="preserve">Размер фонда (обязательства)</t>
  </si>
  <si>
    <t xml:space="preserve">Цель Фонда I. Соответствует офису из 3–5 человек.</t>
  </si>
  <si>
    <t xml:space="preserve">GP commit</t>
  </si>
  <si>
    <t xml:space="preserve">Собственные деньги управляющих в фонде. Инвесторы требуют 1–3%.</t>
  </si>
  <si>
    <t xml:space="preserve">Management fee</t>
  </si>
  <si>
    <t xml:space="preserve">2% от обязательств в инвестиционный период, далее от вложенного капитала по себестоимости.</t>
  </si>
  <si>
    <t xml:space="preserve">Carried interest</t>
  </si>
  <si>
    <t xml:space="preserve">Доля управляющего в прибыли сверх hurdle.</t>
  </si>
  <si>
    <t xml:space="preserve">Hurdle (preferred return)</t>
  </si>
  <si>
    <t xml:space="preserve">Годовая доходность, которую инвестор получает раньше carry.</t>
  </si>
  <si>
    <t xml:space="preserve">Средний срок для расчёта hurdle</t>
  </si>
  <si>
    <t xml:space="preserve">лет</t>
  </si>
  <si>
    <t xml:space="preserve">Упрощение: накопленный preferred считается как C×((1+h)^t−1).</t>
  </si>
  <si>
    <t xml:space="preserve">Инвестиционный период</t>
  </si>
  <si>
    <t xml:space="preserve">Годы, в которые fee считается от обязательств.</t>
  </si>
  <si>
    <t xml:space="preserve">Организационные расходы фонда</t>
  </si>
  <si>
    <t xml:space="preserve">Юр. документы фонда, регистрация. Обычно ограничены 1% от размера фонда.</t>
  </si>
  <si>
    <t xml:space="preserve">Валовой мультипликатор (базовый)</t>
  </si>
  <si>
    <t xml:space="preserve">x</t>
  </si>
  <si>
    <t xml:space="preserve">Сколько фонд возвращает на вложенный доллар до вычета carry.</t>
  </si>
  <si>
    <t xml:space="preserve">Валовой мультипликатор — отличный</t>
  </si>
  <si>
    <t xml:space="preserve">Верхний сценарий.</t>
  </si>
  <si>
    <t xml:space="preserve">Валовой мультипликатор — слабый</t>
  </si>
  <si>
    <t xml:space="preserve">Сценарий, в котором carry не зарабатывается вовсе.</t>
  </si>
  <si>
    <t xml:space="preserve">ПРОЕКТ: переработка хвостохранилища — денежный поток</t>
  </si>
  <si>
    <t xml:space="preserve">Сценарий цен: 1 = базовый · 2 = спот · 3 = пессимистичный</t>
  </si>
  <si>
    <t xml:space="preserve">РЕСУРС И МЕТАЛЛ</t>
  </si>
  <si>
    <t xml:space="preserve">Объём хвостов, тыс. т</t>
  </si>
  <si>
    <t xml:space="preserve">Содержание золота, г/т</t>
  </si>
  <si>
    <t xml:space="preserve">Содержание серебра, г/т</t>
  </si>
  <si>
    <t xml:space="preserve">Металл в хвостах — золото, кг</t>
  </si>
  <si>
    <t xml:space="preserve">Металл в хвостах — серебро, кг</t>
  </si>
  <si>
    <t xml:space="preserve">Извлечение золота, %</t>
  </si>
  <si>
    <t xml:space="preserve">Извлечение серебра, %</t>
  </si>
  <si>
    <t xml:space="preserve">Извлекаемое золото, кг</t>
  </si>
  <si>
    <t xml:space="preserve">Извлекаемое серебро, кг</t>
  </si>
  <si>
    <t xml:space="preserve">Извлекаемое золото, тр. унций</t>
  </si>
  <si>
    <t xml:space="preserve">Извлекаемое серебро, тр. унций</t>
  </si>
  <si>
    <t xml:space="preserve">Срок производства, лет</t>
  </si>
  <si>
    <t xml:space="preserve">ЦЕНЫ ВЫБРАННОГО СЦЕНАРИЯ</t>
  </si>
  <si>
    <t xml:space="preserve">Цена золота, $/унц.</t>
  </si>
  <si>
    <t xml:space="preserve">Цена серебра, $/унц.</t>
  </si>
  <si>
    <t xml:space="preserve">ДЕНЕЖНЫЙ ПОТОК ПРОЕКТА, $ тыс.</t>
  </si>
  <si>
    <t xml:space="preserve">Показатель</t>
  </si>
  <si>
    <t xml:space="preserve">Год 0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</si>
  <si>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</si>
  <si>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</si>
  <si>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</si>
  <si>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</si>
  <si>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</si>
  <si>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ИТОГО</t>
  </si>
  <si>
    <t xml:space="preserve">Признак года производства</t>
  </si>
  <si>
    <t xml:space="preserve">Переработано руды, тыс. т</t>
  </si>
  <si>
    <t xml:space="preserve">Золото произведено, унц.</t>
  </si>
  <si>
    <t xml:space="preserve">Серебро произведено, унц.</t>
  </si>
  <si>
    <t xml:space="preserve">ВЫРУЧКА И РАСХОДЫ</t>
  </si>
  <si>
    <t xml:space="preserve">Выручка — золото</t>
  </si>
  <si>
    <t xml:space="preserve">Выручка — серебро</t>
  </si>
  <si>
    <t xml:space="preserve">Выручка итого</t>
  </si>
  <si>
    <t xml:space="preserve">НДПИ (со скидкой 0,1 для ТМО)</t>
  </si>
  <si>
    <t xml:space="preserve">G&amp;A и рекультивация</t>
  </si>
  <si>
    <t xml:space="preserve">EBITDA</t>
  </si>
  <si>
    <t xml:space="preserve">ИНВЕСТИЦИИ И НАЛОГ НА ПРИБЫЛЬ</t>
  </si>
  <si>
    <t xml:space="preserve">Покупка актива и due diligence</t>
  </si>
  <si>
    <t xml:space="preserve">CAPEX</t>
  </si>
  <si>
    <t xml:space="preserve">Амортизация (для налога)</t>
  </si>
  <si>
    <t xml:space="preserve">Налогооблагаемая прибыль</t>
  </si>
  <si>
    <t xml:space="preserve">КПН</t>
  </si>
  <si>
    <t xml:space="preserve">СВОБОДНЫЙ ДЕНЕЖНЫЙ ПОТОК</t>
  </si>
  <si>
    <t xml:space="preserve">Денежный поток до налога</t>
  </si>
  <si>
    <t xml:space="preserve">Чистый денежный поток</t>
  </si>
  <si>
    <t xml:space="preserve">Накопленный поток</t>
  </si>
  <si>
    <t xml:space="preserve">ИТОГОВЫЕ ПОКАЗАТЕЛИ ПРОЕКТА</t>
  </si>
  <si>
    <t xml:space="preserve">Всего вложено, $ тыс.</t>
  </si>
  <si>
    <t xml:space="preserve">Всего получено (чистый поток за годы производства), $ тыс.</t>
  </si>
  <si>
    <t xml:space="preserve">Мультипликатор на вложенное</t>
  </si>
  <si>
    <t xml:space="preserve">IRR проекта</t>
  </si>
  <si>
    <t xml:space="preserve">NPV проекта, $ тыс.</t>
  </si>
  <si>
    <t xml:space="preserve">Срок окупаемости (год выхода накопленного потока в плюс)</t>
  </si>
  <si>
    <t xml:space="preserve">Точка безубыточности по золоту (недискон.), $/унц.</t>
  </si>
  <si>
    <t xml:space="preserve">Примечание: годы производства — со 2-го по (1 + срок производства). Год 0 — покупка и DD, год 1 — строительство фабрики. Амортизация используется только для расчёта КПН и не является оттоком денег.</t>
  </si>
  <si>
    <t xml:space="preserve">СЦЕНАРИИ И ЧУВСТВИТЕЛЬНОСТЬ</t>
  </si>
  <si>
    <t xml:space="preserve">ТРИ ЦЕНОВЫХ СЦЕНАРИЯ (все прочие параметры одинаковы)</t>
  </si>
  <si>
    <t xml:space="preserve">Пессимистичный</t>
  </si>
  <si>
    <t xml:space="preserve">Базовый</t>
  </si>
  <si>
    <t xml:space="preserve">Спот 10.08.2026</t>
  </si>
  <si>
    <t xml:space="preserve">Выручка — золото, $ тыс.</t>
  </si>
  <si>
    <t xml:space="preserve">Выручка — серебро, $ тыс.</t>
  </si>
  <si>
    <t xml:space="preserve">Выручка итого, $ тыс.</t>
  </si>
  <si>
    <t xml:space="preserve">OPEX, $ тыс.</t>
  </si>
  <si>
    <t xml:space="preserve">НДПИ (коэф. 0,1), $ тыс.</t>
  </si>
  <si>
    <t xml:space="preserve">G&amp;A и рекультивация, $ тыс.</t>
  </si>
  <si>
    <t xml:space="preserve">CAPEX, $ тыс.</t>
  </si>
  <si>
    <t xml:space="preserve">Покупка актива и DD, $ тыс.</t>
  </si>
  <si>
    <t xml:space="preserve">Поток до налога на прибыль, $ тыс.</t>
  </si>
  <si>
    <t xml:space="preserve">КПН, $ тыс.</t>
  </si>
  <si>
    <t xml:space="preserve">Чистый поток за проект, $ тыс.</t>
  </si>
  <si>
    <t xml:space="preserve">Мультипликатор = (все поступления за проект) / (покупка + CAPEX). Недисконтированный, за весь срок.</t>
  </si>
  <si>
    <t xml:space="preserve">ЧУВСТВИТЕЛЬНОСТЬ: чистый поток проекта ($ тыс.) — цена золота × извлечение золота</t>
  </si>
  <si>
    <t xml:space="preserve">Цена Au ↓ / Извлечение →</t>
  </si>
  <si>
    <t xml:space="preserve">Сетка считает недисконтированный поток до КПН при базовой цене серебра. Видно, что рост извлечения на 10 п.п. добавляет больше, чем весь CAPEX фабрики: металлургические тесты — самая доходная строка бюджета due diligence.</t>
  </si>
  <si>
    <t xml:space="preserve">ЭКОНОМИКА ФОНДА I — $30M, 2/20, hurdle 8%, срок 10 лет</t>
  </si>
  <si>
    <t xml:space="preserve">ПАРАМЕТРЫ</t>
  </si>
  <si>
    <t xml:space="preserve">Обязательства (commitments), $ тыс.</t>
  </si>
  <si>
    <t xml:space="preserve">GP commit, $ тыс.</t>
  </si>
  <si>
    <t xml:space="preserve">Hurdle</t>
  </si>
  <si>
    <t xml:space="preserve">Валовой мультипликатор (сценарий)</t>
  </si>
  <si>
    <t xml:space="preserve">ДВИЖЕНИЕ ДЕНЕГ ПО ГОДАМ, $ тыс.</t>
  </si>
  <si>
    <t xml:space="preserve">Год 6</t>
  </si>
  <si>
    <t xml:space="preserve">Год 7</t>
  </si>
  <si>
    <t xml:space="preserve">Год 8</t>
  </si>
  <si>
    <t xml:space="preserve">Год 9</t>
  </si>
  <si>
    <t xml:space="preserve">Год 10</t>
  </si>
  <si>
    <t xml:space="preserve">Профиль вызовов капитала, %</t>
  </si>
  <si>
    <t xml:space="preserve">Профиль распределений, %</t>
  </si>
  <si>
    <t xml:space="preserve">Вызовы капитала</t>
  </si>
  <si>
    <t xml:space="preserve">Распределения (валовые)</t>
  </si>
  <si>
    <t xml:space="preserve">СВОДКА</t>
  </si>
  <si>
    <t xml:space="preserve">Инвестировано в активы, $ тыс.</t>
  </si>
  <si>
    <t xml:space="preserve">Обязательства минус fee инвестиционного периода минус организационные расходы</t>
  </si>
  <si>
    <t xml:space="preserve">Валовые распределения, $ тыс.</t>
  </si>
  <si>
    <t xml:space="preserve">Инвестировано × валовой мультипликатор</t>
  </si>
  <si>
    <t xml:space="preserve">Management fee за весь срок, $ тыс.</t>
  </si>
  <si>
    <t xml:space="preserve">Основной предсказуемый доход управляющего</t>
  </si>
  <si>
    <t xml:space="preserve">Прибыль фонда, $ тыс.</t>
  </si>
  <si>
    <t xml:space="preserve">Распределения минус возврат капитала</t>
  </si>
  <si>
    <t xml:space="preserve">Накопленный preferred return, $ тыс.</t>
  </si>
  <si>
    <t xml:space="preserve">Порог, выше которого возникает carry</t>
  </si>
  <si>
    <t xml:space="preserve">Hurdle пройден?</t>
  </si>
  <si>
    <t xml:space="preserve">Если НЕТ — carry равен нулю</t>
  </si>
  <si>
    <t xml:space="preserve">Carried interest GP, $ тыс.</t>
  </si>
  <si>
    <t xml:space="preserve">Упрощение: при прохождении hurdle применяется полный catch-up</t>
  </si>
  <si>
    <t xml:space="preserve">Получают LP, $ тыс.</t>
  </si>
  <si>
    <t xml:space="preserve">Чистый мультипликатор LP</t>
  </si>
  <si>
    <t xml:space="preserve">Чистый IRR LP</t>
  </si>
  <si>
    <t xml:space="preserve">По чистому потоку LP ниже</t>
  </si>
  <si>
    <t xml:space="preserve">Доход GP за 10 лет (fee + carry), $ тыс.</t>
  </si>
  <si>
    <t xml:space="preserve">Из fee финансируется офис — это не прибыль</t>
  </si>
  <si>
    <t xml:space="preserve">Чистый денежный поток LP по годам, $ тыс.</t>
  </si>
  <si>
    <t xml:space="preserve">Упрощение waterfall: carry распределён пропорционально по всем распределениям, чтобы получить корректный IRR. В реальном LPA (европейский waterfall) carry начинает выплачиваться только после полного возврата капитала LP и preferred return — итоговые суммы те же, распределение во времени иное.</t>
  </si>
  <si>
    <t xml:space="preserve">СЦЕНАРИИ ФОНДА</t>
  </si>
  <si>
    <t xml:space="preserve">Слабый</t>
  </si>
  <si>
    <t xml:space="preserve">Отличный</t>
  </si>
  <si>
    <t xml:space="preserve">Валовой мультипликатор</t>
  </si>
  <si>
    <t xml:space="preserve">Carry GP, $ тыс.</t>
  </si>
  <si>
    <t xml:space="preserve">Доход GP всего (fee+carry), $ тыс.</t>
  </si>
  <si>
    <t xml:space="preserve">Ключевой вывод: в слабом сценарии carry равен нулю, и управляющий за 10 лет получает только management fee, из которого содержится офис. Carry — это опцион, а не зарплата. Поэтому доход от сделок (fee за организацию, плата за управление проектом, промоут, роялти) критичен: он не зависит от того, сработает ли фонд.</t>
  </si>
  <si>
    <t xml:space="preserve">БЮДЖЕТ ОФИСА</t>
  </si>
  <si>
    <t xml:space="preserve">Доля от максимума для колонки «План» (0 = минимум, 1 = максимум)</t>
  </si>
  <si>
    <t xml:space="preserve">РАЗОВЫЕ РАСХОДЫ НА ЗАПУСК (месяцы 0–3), $</t>
  </si>
  <si>
    <t xml:space="preserve">Статья</t>
  </si>
  <si>
    <t xml:space="preserve">Минимум</t>
  </si>
  <si>
    <t xml:space="preserve">Максимум</t>
  </si>
  <si>
    <t xml:space="preserve">План</t>
  </si>
  <si>
    <t xml:space="preserve">Комментарий</t>
  </si>
  <si>
    <t xml:space="preserve">Регистрация AIFC Private Company (управляющая)</t>
  </si>
  <si>
    <t xml:space="preserve">Онлайн-подача, Schedule 5 AIFC Fees Rules</t>
  </si>
  <si>
    <t xml:space="preserve">Регистрация AIFC Private Company (проектный холдинг)</t>
  </si>
  <si>
    <t xml:space="preserve">Одна компания на сделку</t>
  </si>
  <si>
    <t xml:space="preserve">Регистрация ТОО в Алматы</t>
  </si>
  <si>
    <t xml:space="preserve">Операционная компания: офис, зарплаты</t>
  </si>
  <si>
    <t xml:space="preserve">Юридическое структурирование</t>
  </si>
  <si>
    <t xml:space="preserve">Схема владения, налоговая проработка</t>
  </si>
  <si>
    <t xml:space="preserve">Зарегистрированный офис в МФЦА, год 1</t>
  </si>
  <si>
    <t xml:space="preserve">Обязателен адрес в границах МФЦА (Астана)</t>
  </si>
  <si>
    <t xml:space="preserve">Открытие банковских счетов</t>
  </si>
  <si>
    <t xml:space="preserve">Проверить проходимость комплаенса ДО сделки</t>
  </si>
  <si>
    <t xml:space="preserve">Технический DD (бурение, пробы, металлургия, CPR)</t>
  </si>
  <si>
    <t xml:space="preserve">1–2% от суммы сделки. Единственная статья, на которой нельзя экономить</t>
  </si>
  <si>
    <t xml:space="preserve">Юридический DD по сделке</t>
  </si>
  <si>
    <t xml:space="preserve">Включая проверку статуса ТМО по ст. 13 Кодекса о недрах</t>
  </si>
  <si>
    <t xml:space="preserve">Финансовый и налоговый DD</t>
  </si>
  <si>
    <t xml:space="preserve">Плюс заключение по применимости коэффициента 0,1 к НДПИ</t>
  </si>
  <si>
    <t xml:space="preserve">Экологический аудит</t>
  </si>
  <si>
    <t xml:space="preserve">Обязательства по рекультивации переходят к покупателю</t>
  </si>
  <si>
    <t xml:space="preserve">Документация сделки (SPA, SHA, escrow)</t>
  </si>
  <si>
    <t xml:space="preserve">Отлагательные условия и защита инвесторов</t>
  </si>
  <si>
    <t xml:space="preserve">Материалы для инвесторов (тизер, IM, модель, бренд)</t>
  </si>
  <si>
    <t xml:space="preserve">Формат сразу под требования KAZRC/JORC</t>
  </si>
  <si>
    <t xml:space="preserve">ОПЕРАЦИОННЫЕ РАСХОДЫ, ГОД 1, $</t>
  </si>
  <si>
    <t xml:space="preserve">Зарплаты (3 человека, с налогами работодателя)</t>
  </si>
  <si>
    <t xml:space="preserve">Детализация ниже</t>
  </si>
  <si>
    <t xml:space="preserve">Офис в Алматы (аренда, связь, оборудование)</t>
  </si>
  <si>
    <t xml:space="preserve">3–5 рабочих мест</t>
  </si>
  <si>
    <t xml:space="preserve">AI, данные, софт</t>
  </si>
  <si>
    <t xml:space="preserve">Поддержание структуры МФЦА</t>
  </si>
  <si>
    <t xml:space="preserve">Продление, корпоративный секретарь, комплаенс</t>
  </si>
  <si>
    <t xml:space="preserve">Юридический и налоговый ретейнер</t>
  </si>
  <si>
    <t xml:space="preserve">Недропользование + корпоративное право</t>
  </si>
  <si>
    <t xml:space="preserve">Аудит</t>
  </si>
  <si>
    <t xml:space="preserve">С первого года — это требование инвесторов, а не регулятора</t>
  </si>
  <si>
    <t xml:space="preserve">Поездки к инвесторам (ОАЭ, Израиль, Китай, Индия, СНГ)</t>
  </si>
  <si>
    <t xml:space="preserve">Деньги привлекаются лично</t>
  </si>
  <si>
    <t xml:space="preserve">Прочее и резерв</t>
  </si>
  <si>
    <t xml:space="preserve">10% на непредвиденное</t>
  </si>
  <si>
    <t xml:space="preserve">ДОПОЛНИТЕЛЬНО ПРИ ЗАПУСКЕ ФОНДА (месяцы 6–18), $</t>
  </si>
  <si>
    <t xml:space="preserve">Сбор AFSA за заявку на лицензию Fund Manager</t>
  </si>
  <si>
    <t xml:space="preserve">AIFC Fees Rules</t>
  </si>
  <si>
    <t xml:space="preserve">Ежегодный надзорный сбор AFSA</t>
  </si>
  <si>
    <t xml:space="preserve">Подготовка лицензионного пакета</t>
  </si>
  <si>
    <t xml:space="preserve">Бизнес-план 3 года, AML/CFT, риск-менеджмент, назначенные лица</t>
  </si>
  <si>
    <t xml:space="preserve">Уведомление об Exempt Fund</t>
  </si>
  <si>
    <t xml:space="preserve">Не регистрация, а уведомление — минимум за 7 дней до запуска</t>
  </si>
  <si>
    <t xml:space="preserve">Документация фонда (LPA, PPM, подписные)</t>
  </si>
  <si>
    <t xml:space="preserve">Главный документ отношений с инвесторами</t>
  </si>
  <si>
    <t xml:space="preserve">Администратор фонда (запуск + год)</t>
  </si>
  <si>
    <t xml:space="preserve">Внешний администратор — требование серьёзных LP</t>
  </si>
  <si>
    <t xml:space="preserve">Кастодиан (год)</t>
  </si>
  <si>
    <t xml:space="preserve">Снижает требование к капиталу управляющего с $500k до $50k</t>
  </si>
  <si>
    <t xml:space="preserve">Аудитор фонда (год)</t>
  </si>
  <si>
    <t xml:space="preserve">Обязателен для регистрации фонда в AFSA</t>
  </si>
  <si>
    <t xml:space="preserve">Комплаенс-офицер и MLRO</t>
  </si>
  <si>
    <t xml:space="preserve">Можно на аутсорсе</t>
  </si>
  <si>
    <t xml:space="preserve">Базовый капитал управляющего (замораживается, не расход), $</t>
  </si>
  <si>
    <t xml:space="preserve">$50 000 при назначенном Eligible Custodian; $500 000 — без него</t>
  </si>
  <si>
    <t xml:space="preserve">ЗАРПЛАТЫ КОМАНДЫ (Алматы, рынок 2026 +25–35%)</t>
  </si>
  <si>
    <t xml:space="preserve">Роль</t>
  </si>
  <si>
    <t xml:space="preserve">₸/мес (мин)</t>
  </si>
  <si>
    <t xml:space="preserve">₸/мес (макс)</t>
  </si>
  <si>
    <t xml:space="preserve">$/мес (план)</t>
  </si>
  <si>
    <t xml:space="preserve">Полная стоимость в год, $ (с налогами работодателя)</t>
  </si>
  <si>
    <t xml:space="preserve">Инвестиционный менеджер / финмоделлер</t>
  </si>
  <si>
    <t xml:space="preserve">AI/автоматизация — инженер агентов</t>
  </si>
  <si>
    <t xml:space="preserve">Технический директор (геология)</t>
  </si>
  <si>
    <t xml:space="preserve">IR / операционка (найм на месяце 9–12)</t>
  </si>
  <si>
    <t xml:space="preserve">ИТОГО (первые 3 роли — состав года 1)</t>
  </si>
  <si>
    <t xml:space="preserve">Налоги работодателя (соцналог, соцотчисления, ОСМС), доля от оклада</t>
  </si>
  <si>
    <t xml:space="preserve">Оценка. Подтвердить у казахстанского бухгалтера по новому Налоговому кодексу 2026</t>
  </si>
  <si>
    <t xml:space="preserve">AI И ДАННЫЕ, $/мес</t>
  </si>
  <si>
    <t xml:space="preserve">Позиция</t>
  </si>
  <si>
    <t xml:space="preserve">Мин, $/мес</t>
  </si>
  <si>
    <t xml:space="preserve">Макс, $/мес</t>
  </si>
  <si>
    <t xml:space="preserve">План, $/мес</t>
  </si>
  <si>
    <t xml:space="preserve">Claude (Team/Enterprise) + Claude Code на команду</t>
  </si>
  <si>
    <t xml:space="preserve">Основной рабочий инструмент; расход по API поверх мест</t>
  </si>
  <si>
    <t xml:space="preserve">ChatGPT Business (второе мнение)</t>
  </si>
  <si>
    <t xml:space="preserve">~$25–60 за место</t>
  </si>
  <si>
    <t xml:space="preserve">Инфраструктура агентов, хранилище, поиск по документам</t>
  </si>
  <si>
    <t xml:space="preserve">Хостинг, оркестрация, векторный поиск</t>
  </si>
  <si>
    <t xml:space="preserve">Данные по металлам</t>
  </si>
  <si>
    <t xml:space="preserve">Котировки, форвардные кривые</t>
  </si>
  <si>
    <t xml:space="preserve">Виртуальная комната данных</t>
  </si>
  <si>
    <t xml:space="preserve">Для DD и работы с инвесторами</t>
  </si>
  <si>
    <t xml:space="preserve">CRM, задачи, э-подпись, бухгалтерия</t>
  </si>
  <si>
    <t xml:space="preserve">Операционный софт</t>
  </si>
  <si>
    <t xml:space="preserve">Отраслевые базы (S&amp;P Capital IQ / Mining Intelligence)</t>
  </si>
  <si>
    <t xml:space="preserve">Год 1 — не покупать. От $20k/год, окупается со второго года</t>
  </si>
  <si>
    <t xml:space="preserve">ИТОГО в месяц</t>
  </si>
  <si>
    <t xml:space="preserve">ИТОГО в год</t>
  </si>
  <si>
    <t xml:space="preserve">СВОДКА ПО ЗАПУСКУ</t>
  </si>
  <si>
    <t xml:space="preserve">Разовые расходы (план), $</t>
  </si>
  <si>
    <t xml:space="preserve">Операционные расходы года 1 (план), $</t>
  </si>
  <si>
    <t xml:space="preserve">ИТОГО потребность в финансировании года 1, $</t>
  </si>
  <si>
    <t xml:space="preserve">Финансируется из торгового бизнеса и fee за организацию сделки №1, а НЕ из $500k собственных средств — они резервируются под GP commit</t>
  </si>
  <si>
    <t xml:space="preserve">Дополнительно при запуске фонда, $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</si>
</sst>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#,##0;\(#,##0\);\-"/>
    <numFmt numFmtId="168" formatCode="#,##0.00;\(#,##0.00\);\-"/>
    <numFmt numFmtId="169" formatCode="0.0%"/>
    <numFmt numFmtId="170" formatCode="0.0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21.75" hidden="false" customHeight="true" outlineLevel="0" collapsed="false">
      <c r="A1" s="1" t="s">
        <v>0</v>
      </c>
      <c r="B1" s="1"/>
    </row>
    <row r="2" customFormat="false" ht="15" hidden="false" customHeight="true" outlineLevel="0" collapsed="false">
      <c r="A2" s="2"/>
      <c r="B2" s="3"/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A4" s="2"/>
      <c r="B4" s="3"/>
    </row>
    <row r="5" customFormat="false" ht="15" hidden="false" customHeight="false" outlineLevel="0" collapsed="false">
      <c r="A5" s="4" t="s">
        <v>3</v>
      </c>
      <c r="B5" s="4"/>
    </row>
    <row r="6" customFormat="false" ht="27.75" hidden="false" customHeight="true" outlineLevel="0" collapsed="false">
      <c r="A6" s="2" t="s">
        <v>4</v>
      </c>
      <c r="B6" s="3" t="s">
        <v>5</v>
      </c>
    </row>
    <row r="7" customFormat="false" ht="27.75" hidden="false" customHeight="true" outlineLevel="0" collapsed="false">
      <c r="A7" s="2" t="s">
        <v>6</v>
      </c>
      <c r="B7" s="3" t="s">
        <v>7</v>
      </c>
    </row>
    <row r="8" customFormat="false" ht="27.75" hidden="false" customHeight="true" outlineLevel="0" collapsed="false">
      <c r="A8" s="2" t="s">
        <v>8</v>
      </c>
      <c r="B8" s="3" t="s">
        <v>9</v>
      </c>
    </row>
    <row r="9" customFormat="false" ht="27.75" hidden="false" customHeight="true" outlineLevel="0" collapsed="false">
      <c r="A9" s="2" t="s">
        <v>10</v>
      </c>
      <c r="B9" s="3" t="s">
        <v>11</v>
      </c>
    </row>
    <row r="10" customFormat="false" ht="27.75" hidden="false" customHeight="true" outlineLevel="0" collapsed="false">
      <c r="A10" s="2" t="s">
        <v>12</v>
      </c>
      <c r="B10" s="3" t="s">
        <v>13</v>
      </c>
    </row>
    <row r="11" customFormat="false" ht="15" hidden="false" customHeight="true" outlineLevel="0" collapsed="false">
      <c r="A11" s="2"/>
      <c r="B11" s="3"/>
    </row>
    <row r="12" customFormat="false" ht="15" hidden="false" customHeight="false" outlineLevel="0" collapsed="false">
      <c r="A12" s="4" t="s">
        <v>14</v>
      </c>
      <c r="B12" s="4"/>
    </row>
    <row r="13" customFormat="false" ht="15" hidden="false" customHeight="true" outlineLevel="0" collapsed="false">
      <c r="A13" s="2" t="s">
        <v>15</v>
      </c>
      <c r="B13" s="3" t="s">
        <v>16</v>
      </c>
    </row>
    <row r="14" customFormat="false" ht="15" hidden="false" customHeight="true" outlineLevel="0" collapsed="false">
      <c r="A14" s="2" t="s">
        <v>17</v>
      </c>
      <c r="B14" s="3" t="s">
        <v>18</v>
      </c>
    </row>
    <row r="15" customFormat="false" ht="15" hidden="false" customHeight="true" outlineLevel="0" collapsed="false">
      <c r="A15" s="2" t="s">
        <v>19</v>
      </c>
      <c r="B15" s="3" t="s">
        <v>20</v>
      </c>
    </row>
    <row r="16" customFormat="false" ht="27.75" hidden="false" customHeight="true" outlineLevel="0" collapsed="false">
      <c r="A16" s="2" t="s">
        <v>21</v>
      </c>
      <c r="B16" s="3" t="s">
        <v>22</v>
      </c>
    </row>
    <row r="17" customFormat="false" ht="15" hidden="false" customHeight="true" outlineLevel="0" collapsed="false">
      <c r="A17" s="2"/>
      <c r="B17" s="3"/>
    </row>
    <row r="18" customFormat="false" ht="15" hidden="false" customHeight="false" outlineLevel="0" collapsed="false">
      <c r="A18" s="4" t="s">
        <v>23</v>
      </c>
      <c r="B18" s="4"/>
    </row>
    <row r="19" customFormat="false" ht="42" hidden="false" customHeight="true" outlineLevel="0" collapsed="false">
      <c r="A19" s="5" t="s">
        <v>24</v>
      </c>
      <c r="B19" s="6" t="s">
        <v>25</v>
      </c>
    </row>
    <row r="20" customFormat="false" ht="42" hidden="false" customHeight="true" outlineLevel="0" collapsed="false">
      <c r="A20" s="5" t="s">
        <v>26</v>
      </c>
      <c r="B20" s="6" t="s">
        <v>27</v>
      </c>
    </row>
    <row r="21" customFormat="false" ht="42" hidden="false" customHeight="true" outlineLevel="0" collapsed="false">
      <c r="A21" s="2" t="s">
        <v>28</v>
      </c>
      <c r="B21" s="3" t="s">
        <v>29</v>
      </c>
    </row>
    <row r="22" customFormat="false" ht="42" hidden="false" customHeight="true" outlineLevel="0" collapsed="false">
      <c r="A22" s="2" t="s">
        <v>30</v>
      </c>
      <c r="B22" s="3" t="s">
        <v>31</v>
      </c>
    </row>
    <row r="23" customFormat="false" ht="15" hidden="false" customHeight="true" outlineLevel="0" collapsed="false">
      <c r="A23" s="2"/>
      <c r="B23" s="3"/>
    </row>
    <row r="24" customFormat="false" ht="27.75" hidden="false" customHeight="true" outlineLevel="0" collapsed="false">
      <c r="A24" s="2" t="s">
        <v>32</v>
      </c>
      <c r="B24" s="3" t="s">
        <v>33</v>
      </c>
    </row>
  </sheetData>
  <mergeCells count="4">
    <mergeCell ref="A1:B1"/>
    <mergeCell ref="A5:B5"/>
    <mergeCell ref="A12:B12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8"/>
  </cols>
  <sheetData>
    <row r="1" customFormat="false" ht="21.75" hidden="false" customHeight="true" outlineLevel="0" collapsed="false">
      <c r="A1" s="1" t="s">
        <v>34</v>
      </c>
      <c r="B1" s="1"/>
      <c r="C1" s="1"/>
      <c r="D1" s="1"/>
    </row>
    <row r="3" customFormat="false" ht="15" hidden="false" customHeight="false" outlineLevel="0" collapsed="false">
      <c r="A3" s="7" t="s">
        <v>35</v>
      </c>
      <c r="B3" s="8" t="s">
        <v>36</v>
      </c>
      <c r="C3" s="8" t="s">
        <v>37</v>
      </c>
      <c r="D3" s="7" t="s">
        <v>38</v>
      </c>
    </row>
    <row r="5" customFormat="false" ht="15" hidden="false" customHeight="false" outlineLevel="0" collapsed="false">
      <c r="A5" s="4" t="s">
        <v>39</v>
      </c>
      <c r="B5" s="4"/>
      <c r="C5" s="4"/>
      <c r="D5" s="4"/>
    </row>
    <row r="6" customFormat="false" ht="15" hidden="false" customHeight="true" outlineLevel="0" collapsed="false">
      <c r="A6" s="9" t="s">
        <v>40</v>
      </c>
      <c r="B6" s="10" t="n">
        <v>3200</v>
      </c>
      <c r="C6" s="11" t="s">
        <v>41</v>
      </c>
      <c r="D6" s="12" t="s">
        <v>42</v>
      </c>
    </row>
    <row r="7" customFormat="false" ht="15" hidden="false" customHeight="true" outlineLevel="0" collapsed="false">
      <c r="A7" s="9" t="s">
        <v>43</v>
      </c>
      <c r="B7" s="13" t="n">
        <v>4376</v>
      </c>
      <c r="C7" s="11" t="s">
        <v>41</v>
      </c>
      <c r="D7" s="12" t="s">
        <v>44</v>
      </c>
    </row>
    <row r="8" customFormat="false" ht="15" hidden="false" customHeight="true" outlineLevel="0" collapsed="false">
      <c r="A8" s="9" t="s">
        <v>45</v>
      </c>
      <c r="B8" s="13" t="n">
        <v>2600</v>
      </c>
      <c r="C8" s="11" t="s">
        <v>41</v>
      </c>
      <c r="D8" s="12" t="s">
        <v>46</v>
      </c>
    </row>
    <row r="9" customFormat="false" ht="15" hidden="false" customHeight="true" outlineLevel="0" collapsed="false">
      <c r="A9" s="9" t="s">
        <v>47</v>
      </c>
      <c r="B9" s="10" t="n">
        <v>45</v>
      </c>
      <c r="C9" s="11" t="s">
        <v>41</v>
      </c>
      <c r="D9" s="12" t="s">
        <v>48</v>
      </c>
    </row>
    <row r="10" customFormat="false" ht="15" hidden="false" customHeight="true" outlineLevel="0" collapsed="false">
      <c r="A10" s="9" t="s">
        <v>49</v>
      </c>
      <c r="B10" s="14" t="n">
        <v>65.86</v>
      </c>
      <c r="C10" s="11" t="s">
        <v>41</v>
      </c>
      <c r="D10" s="12" t="s">
        <v>50</v>
      </c>
    </row>
    <row r="11" customFormat="false" ht="15" hidden="false" customHeight="true" outlineLevel="0" collapsed="false">
      <c r="A11" s="9" t="s">
        <v>51</v>
      </c>
      <c r="B11" s="13" t="n">
        <v>35</v>
      </c>
      <c r="C11" s="11" t="s">
        <v>41</v>
      </c>
      <c r="D11" s="12" t="s">
        <v>46</v>
      </c>
    </row>
    <row r="12" customFormat="false" ht="15" hidden="false" customHeight="true" outlineLevel="0" collapsed="false">
      <c r="A12" s="9" t="s">
        <v>52</v>
      </c>
      <c r="B12" s="15" t="n">
        <v>470</v>
      </c>
      <c r="C12" s="11" t="s">
        <v>53</v>
      </c>
      <c r="D12" s="12" t="s">
        <v>54</v>
      </c>
    </row>
    <row r="13" customFormat="false" ht="15" hidden="false" customHeight="true" outlineLevel="0" collapsed="false">
      <c r="A13" s="9" t="s">
        <v>55</v>
      </c>
      <c r="B13" s="15" t="n">
        <v>4325</v>
      </c>
      <c r="C13" s="11" t="s">
        <v>56</v>
      </c>
      <c r="D13" s="12" t="s">
        <v>57</v>
      </c>
    </row>
    <row r="14" customFormat="false" ht="15" hidden="false" customHeight="true" outlineLevel="0" collapsed="false">
      <c r="A14" s="9" t="s">
        <v>58</v>
      </c>
      <c r="B14" s="16" t="n">
        <v>32.1507</v>
      </c>
      <c r="C14" s="11" t="s">
        <v>59</v>
      </c>
      <c r="D14" s="12" t="s">
        <v>60</v>
      </c>
    </row>
    <row r="16" customFormat="false" ht="15" hidden="false" customHeight="false" outlineLevel="0" collapsed="false">
      <c r="A16" s="4" t="s">
        <v>61</v>
      </c>
      <c r="B16" s="4"/>
      <c r="C16" s="4"/>
      <c r="D16" s="4"/>
    </row>
    <row r="17" customFormat="false" ht="15" hidden="false" customHeight="true" outlineLevel="0" collapsed="false">
      <c r="A17" s="9" t="s">
        <v>62</v>
      </c>
      <c r="B17" s="17" t="n">
        <v>2500</v>
      </c>
      <c r="C17" s="11" t="s">
        <v>63</v>
      </c>
      <c r="D17" s="12" t="s">
        <v>64</v>
      </c>
    </row>
    <row r="18" customFormat="false" ht="15" hidden="false" customHeight="true" outlineLevel="0" collapsed="false">
      <c r="A18" s="9" t="s">
        <v>65</v>
      </c>
      <c r="B18" s="18" t="n">
        <v>0.6</v>
      </c>
      <c r="C18" s="11" t="s">
        <v>66</v>
      </c>
      <c r="D18" s="12" t="s">
        <v>67</v>
      </c>
    </row>
    <row r="19" customFormat="false" ht="15" hidden="false" customHeight="true" outlineLevel="0" collapsed="false">
      <c r="A19" s="9" t="s">
        <v>68</v>
      </c>
      <c r="B19" s="18" t="n">
        <v>5</v>
      </c>
      <c r="C19" s="11" t="s">
        <v>66</v>
      </c>
      <c r="D19" s="12" t="s">
        <v>67</v>
      </c>
    </row>
    <row r="20" customFormat="false" ht="25.5" hidden="false" customHeight="true" outlineLevel="0" collapsed="false">
      <c r="A20" s="9" t="s">
        <v>69</v>
      </c>
      <c r="B20" s="19" t="n">
        <v>0.55</v>
      </c>
      <c r="C20" s="11" t="s">
        <v>70</v>
      </c>
      <c r="D20" s="12" t="s">
        <v>71</v>
      </c>
    </row>
    <row r="21" customFormat="false" ht="15" hidden="false" customHeight="true" outlineLevel="0" collapsed="false">
      <c r="A21" s="9" t="s">
        <v>72</v>
      </c>
      <c r="B21" s="19" t="n">
        <v>0.25</v>
      </c>
      <c r="C21" s="11" t="s">
        <v>70</v>
      </c>
      <c r="D21" s="12" t="s">
        <v>73</v>
      </c>
    </row>
    <row r="22" customFormat="false" ht="15" hidden="false" customHeight="true" outlineLevel="0" collapsed="false">
      <c r="A22" s="9" t="s">
        <v>74</v>
      </c>
      <c r="B22" s="15" t="n">
        <v>625</v>
      </c>
      <c r="C22" s="11" t="s">
        <v>75</v>
      </c>
      <c r="D22" s="12" t="s">
        <v>76</v>
      </c>
    </row>
    <row r="23" customFormat="false" ht="25.5" hidden="false" customHeight="true" outlineLevel="0" collapsed="false">
      <c r="A23" s="9" t="s">
        <v>77</v>
      </c>
      <c r="B23" s="10" t="n">
        <v>18000</v>
      </c>
      <c r="C23" s="11" t="s">
        <v>78</v>
      </c>
      <c r="D23" s="12" t="s">
        <v>79</v>
      </c>
    </row>
    <row r="24" customFormat="false" ht="15" hidden="false" customHeight="true" outlineLevel="0" collapsed="false">
      <c r="A24" s="9" t="s">
        <v>80</v>
      </c>
      <c r="B24" s="10" t="n">
        <v>16</v>
      </c>
      <c r="C24" s="11" t="s">
        <v>81</v>
      </c>
      <c r="D24" s="12" t="s">
        <v>82</v>
      </c>
    </row>
    <row r="25" customFormat="false" ht="15" hidden="false" customHeight="true" outlineLevel="0" collapsed="false">
      <c r="A25" s="9" t="s">
        <v>83</v>
      </c>
      <c r="B25" s="10" t="n">
        <v>8000</v>
      </c>
      <c r="C25" s="11" t="s">
        <v>78</v>
      </c>
      <c r="D25" s="12" t="s">
        <v>84</v>
      </c>
    </row>
    <row r="26" customFormat="false" ht="25.5" hidden="false" customHeight="true" outlineLevel="0" collapsed="false">
      <c r="A26" s="9" t="s">
        <v>85</v>
      </c>
      <c r="B26" s="13" t="n">
        <v>150</v>
      </c>
      <c r="C26" s="11" t="s">
        <v>78</v>
      </c>
      <c r="D26" s="12" t="s">
        <v>86</v>
      </c>
    </row>
    <row r="27" customFormat="false" ht="15" hidden="false" customHeight="true" outlineLevel="0" collapsed="false">
      <c r="A27" s="9" t="s">
        <v>87</v>
      </c>
      <c r="B27" s="13" t="n">
        <v>8000</v>
      </c>
      <c r="C27" s="11" t="s">
        <v>78</v>
      </c>
      <c r="D27" s="12" t="s">
        <v>88</v>
      </c>
    </row>
    <row r="29" customFormat="false" ht="15" hidden="false" customHeight="false" outlineLevel="0" collapsed="false">
      <c r="A29" s="4" t="s">
        <v>89</v>
      </c>
      <c r="B29" s="4"/>
      <c r="C29" s="4"/>
      <c r="D29" s="4"/>
    </row>
    <row r="30" customFormat="false" ht="25.5" hidden="false" customHeight="true" outlineLevel="0" collapsed="false">
      <c r="A30" s="9" t="s">
        <v>90</v>
      </c>
      <c r="B30" s="20" t="n">
        <v>0.09</v>
      </c>
      <c r="C30" s="11" t="s">
        <v>70</v>
      </c>
      <c r="D30" s="12" t="s">
        <v>91</v>
      </c>
    </row>
    <row r="31" customFormat="false" ht="25.5" hidden="false" customHeight="true" outlineLevel="0" collapsed="false">
      <c r="A31" s="9" t="s">
        <v>92</v>
      </c>
      <c r="B31" s="18" t="n">
        <v>0.1</v>
      </c>
      <c r="C31" s="11" t="s">
        <v>93</v>
      </c>
      <c r="D31" s="12" t="s">
        <v>94</v>
      </c>
    </row>
    <row r="32" customFormat="false" ht="15" hidden="false" customHeight="true" outlineLevel="0" collapsed="false">
      <c r="A32" s="9" t="s">
        <v>95</v>
      </c>
      <c r="B32" s="20" t="n">
        <v>0.2</v>
      </c>
      <c r="C32" s="11" t="s">
        <v>70</v>
      </c>
      <c r="D32" s="12" t="s">
        <v>96</v>
      </c>
    </row>
    <row r="33" customFormat="false" ht="25.5" hidden="false" customHeight="true" outlineLevel="0" collapsed="false">
      <c r="A33" s="9" t="s">
        <v>97</v>
      </c>
      <c r="B33" s="17" t="n">
        <v>0</v>
      </c>
      <c r="C33" s="11" t="s">
        <v>98</v>
      </c>
      <c r="D33" s="12" t="s">
        <v>99</v>
      </c>
    </row>
    <row r="34" customFormat="false" ht="25.5" hidden="false" customHeight="true" outlineLevel="0" collapsed="false">
      <c r="A34" s="9" t="s">
        <v>100</v>
      </c>
      <c r="B34" s="20" t="n">
        <v>0.12</v>
      </c>
      <c r="C34" s="11" t="s">
        <v>70</v>
      </c>
      <c r="D34" s="12" t="s">
        <v>101</v>
      </c>
    </row>
    <row r="36" customFormat="false" ht="15" hidden="false" customHeight="false" outlineLevel="0" collapsed="false">
      <c r="A36" s="4" t="s">
        <v>102</v>
      </c>
      <c r="B36" s="4"/>
      <c r="C36" s="4"/>
      <c r="D36" s="4"/>
    </row>
    <row r="37" customFormat="false" ht="15" hidden="false" customHeight="true" outlineLevel="0" collapsed="false">
      <c r="A37" s="9" t="s">
        <v>103</v>
      </c>
      <c r="B37" s="10" t="n">
        <v>30000</v>
      </c>
      <c r="C37" s="11" t="s">
        <v>78</v>
      </c>
      <c r="D37" s="12" t="s">
        <v>104</v>
      </c>
    </row>
    <row r="38" customFormat="false" ht="25.5" hidden="false" customHeight="true" outlineLevel="0" collapsed="false">
      <c r="A38" s="9" t="s">
        <v>105</v>
      </c>
      <c r="B38" s="20" t="n">
        <v>0.015</v>
      </c>
      <c r="C38" s="11" t="s">
        <v>70</v>
      </c>
      <c r="D38" s="12" t="s">
        <v>106</v>
      </c>
    </row>
    <row r="39" customFormat="false" ht="25.5" hidden="false" customHeight="true" outlineLevel="0" collapsed="false">
      <c r="A39" s="9" t="s">
        <v>107</v>
      </c>
      <c r="B39" s="20" t="n">
        <v>0.02</v>
      </c>
      <c r="C39" s="11" t="s">
        <v>70</v>
      </c>
      <c r="D39" s="12" t="s">
        <v>108</v>
      </c>
    </row>
    <row r="40" customFormat="false" ht="15" hidden="false" customHeight="true" outlineLevel="0" collapsed="false">
      <c r="A40" s="9" t="s">
        <v>109</v>
      </c>
      <c r="B40" s="20" t="n">
        <v>0.2</v>
      </c>
      <c r="C40" s="11" t="s">
        <v>70</v>
      </c>
      <c r="D40" s="12" t="s">
        <v>110</v>
      </c>
    </row>
    <row r="41" customFormat="false" ht="15" hidden="false" customHeight="true" outlineLevel="0" collapsed="false">
      <c r="A41" s="9" t="s">
        <v>111</v>
      </c>
      <c r="B41" s="20" t="n">
        <v>0.08</v>
      </c>
      <c r="C41" s="11" t="s">
        <v>70</v>
      </c>
      <c r="D41" s="12" t="s">
        <v>112</v>
      </c>
    </row>
    <row r="42" customFormat="false" ht="25.5" hidden="false" customHeight="true" outlineLevel="0" collapsed="false">
      <c r="A42" s="9" t="s">
        <v>113</v>
      </c>
      <c r="B42" s="16" t="n">
        <v>5</v>
      </c>
      <c r="C42" s="11" t="s">
        <v>114</v>
      </c>
      <c r="D42" s="12" t="s">
        <v>115</v>
      </c>
    </row>
    <row r="43" customFormat="false" ht="15" hidden="false" customHeight="true" outlineLevel="0" collapsed="false">
      <c r="A43" s="9" t="s">
        <v>116</v>
      </c>
      <c r="B43" s="15" t="n">
        <v>5</v>
      </c>
      <c r="C43" s="11" t="s">
        <v>114</v>
      </c>
      <c r="D43" s="12" t="s">
        <v>117</v>
      </c>
    </row>
    <row r="44" customFormat="false" ht="25.5" hidden="false" customHeight="true" outlineLevel="0" collapsed="false">
      <c r="A44" s="9" t="s">
        <v>118</v>
      </c>
      <c r="B44" s="13" t="n">
        <v>300</v>
      </c>
      <c r="C44" s="11" t="s">
        <v>78</v>
      </c>
      <c r="D44" s="12" t="s">
        <v>119</v>
      </c>
    </row>
    <row r="45" customFormat="false" ht="15" hidden="false" customHeight="true" outlineLevel="0" collapsed="false">
      <c r="A45" s="9" t="s">
        <v>120</v>
      </c>
      <c r="B45" s="21" t="n">
        <v>2.6</v>
      </c>
      <c r="C45" s="11" t="s">
        <v>121</v>
      </c>
      <c r="D45" s="12" t="s">
        <v>122</v>
      </c>
    </row>
    <row r="46" customFormat="false" ht="15" hidden="false" customHeight="true" outlineLevel="0" collapsed="false">
      <c r="A46" s="9" t="s">
        <v>123</v>
      </c>
      <c r="B46" s="22" t="n">
        <v>3.5</v>
      </c>
      <c r="C46" s="11" t="s">
        <v>121</v>
      </c>
      <c r="D46" s="12" t="s">
        <v>124</v>
      </c>
    </row>
    <row r="47" customFormat="false" ht="15" hidden="false" customHeight="true" outlineLevel="0" collapsed="false">
      <c r="A47" s="9" t="s">
        <v>125</v>
      </c>
      <c r="B47" s="22" t="n">
        <v>1.6</v>
      </c>
      <c r="C47" s="11" t="s">
        <v>121</v>
      </c>
      <c r="D47" s="12" t="s">
        <v>126</v>
      </c>
    </row>
  </sheetData>
  <mergeCells count="5">
    <mergeCell ref="A1:D1"/>
    <mergeCell ref="A5:D5"/>
    <mergeCell ref="A16:D16"/>
    <mergeCell ref="A29:D29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128</v>
      </c>
      <c r="B3" s="17" t="n">
        <v>1</v>
      </c>
    </row>
    <row r="5" customFormat="false" ht="15" hidden="false" customHeight="false" outlineLevel="0" collapsed="false">
      <c r="A5" s="4" t="s">
        <v>129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23" t="s">
        <v>130</v>
      </c>
      <c r="B6" s="24" t="n">
        <f aca="false">Допущения!B17</f>
        <v>2500</v>
      </c>
    </row>
    <row r="7" customFormat="false" ht="15" hidden="false" customHeight="false" outlineLevel="0" collapsed="false">
      <c r="A7" s="23" t="s">
        <v>131</v>
      </c>
      <c r="B7" s="25" t="n">
        <f aca="false">Допущения!B18</f>
        <v>0.6</v>
      </c>
    </row>
    <row r="8" customFormat="false" ht="15" hidden="false" customHeight="false" outlineLevel="0" collapsed="false">
      <c r="A8" s="23" t="s">
        <v>132</v>
      </c>
      <c r="B8" s="25" t="n">
        <f aca="false">Допущения!B19</f>
        <v>5</v>
      </c>
    </row>
    <row r="9" customFormat="false" ht="15" hidden="false" customHeight="false" outlineLevel="0" collapsed="false">
      <c r="A9" s="23" t="s">
        <v>133</v>
      </c>
      <c r="B9" s="26" t="n">
        <f aca="false">B6*B7</f>
        <v>1500</v>
      </c>
    </row>
    <row r="10" customFormat="false" ht="15" hidden="false" customHeight="false" outlineLevel="0" collapsed="false">
      <c r="A10" s="23" t="s">
        <v>134</v>
      </c>
      <c r="B10" s="26" t="n">
        <f aca="false">B6*B8</f>
        <v>12500</v>
      </c>
    </row>
    <row r="11" customFormat="false" ht="15" hidden="false" customHeight="false" outlineLevel="0" collapsed="false">
      <c r="A11" s="23" t="s">
        <v>135</v>
      </c>
      <c r="B11" s="27" t="n">
        <f aca="false">Допущения!B20</f>
        <v>0.55</v>
      </c>
    </row>
    <row r="12" customFormat="false" ht="15" hidden="false" customHeight="false" outlineLevel="0" collapsed="false">
      <c r="A12" s="23" t="s">
        <v>136</v>
      </c>
      <c r="B12" s="27" t="n">
        <f aca="false">Допущения!B21</f>
        <v>0.25</v>
      </c>
    </row>
    <row r="13" customFormat="false" ht="15" hidden="false" customHeight="false" outlineLevel="0" collapsed="false">
      <c r="A13" s="23" t="s">
        <v>137</v>
      </c>
      <c r="B13" s="26" t="n">
        <f aca="false">B9*B11</f>
        <v>825</v>
      </c>
    </row>
    <row r="14" customFormat="false" ht="15" hidden="false" customHeight="false" outlineLevel="0" collapsed="false">
      <c r="A14" s="23" t="s">
        <v>138</v>
      </c>
      <c r="B14" s="26" t="n">
        <f aca="false">B10*B12</f>
        <v>3125</v>
      </c>
    </row>
    <row r="15" customFormat="false" ht="15" hidden="false" customHeight="false" outlineLevel="0" collapsed="false">
      <c r="A15" s="23" t="s">
        <v>139</v>
      </c>
      <c r="B15" s="26" t="n">
        <f aca="false">B13*Допущения!B14</f>
        <v>26524.3275</v>
      </c>
    </row>
    <row r="16" customFormat="false" ht="15" hidden="false" customHeight="false" outlineLevel="0" collapsed="false">
      <c r="A16" s="23" t="s">
        <v>140</v>
      </c>
      <c r="B16" s="26" t="n">
        <f aca="false">B14*Допущения!B14</f>
        <v>100470.9375</v>
      </c>
    </row>
    <row r="17" customFormat="false" ht="15" hidden="false" customHeight="false" outlineLevel="0" collapsed="false">
      <c r="A17" s="23" t="s">
        <v>141</v>
      </c>
      <c r="B17" s="28" t="n">
        <f aca="false">ROUND(B6/Допущения!B22,0)</f>
        <v>4</v>
      </c>
    </row>
    <row r="19" customFormat="false" ht="15" hidden="false" customHeight="false" outlineLevel="0" collapsed="false">
      <c r="A19" s="4" t="s">
        <v>142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23" t="s">
        <v>143</v>
      </c>
      <c r="B20" s="29" t="n">
        <f aca="false">CHOOSE($B$3,Допущения!B6,Допущения!B7,Допущения!B8)</f>
        <v>3200</v>
      </c>
    </row>
    <row r="21" customFormat="false" ht="15" hidden="false" customHeight="false" outlineLevel="0" collapsed="false">
      <c r="A21" s="23" t="s">
        <v>144</v>
      </c>
      <c r="B21" s="30" t="n">
        <f aca="false">CHOOSE($B$3,Допущения!B9,Допущения!B10,Допущения!B11)</f>
        <v>45</v>
      </c>
    </row>
    <row r="23" customFormat="false" ht="15" hidden="false" customHeight="false" outlineLevel="0" collapsed="false">
      <c r="A23" s="4" t="s">
        <v>145</v>
      </c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7" t="s">
        <v>146</v>
      </c>
      <c r="B24" s="31"/>
      <c r="C24" s="8" t="s">
        <v>147</v>
      </c>
      <c r="D24" s="8" t="s">
        <v>148</v>
      </c>
      <c r="E24" s="8" t="s">
        <v>149</v>
      </c>
      <c r="F24" s="8" t="s">
        <v>150</v>
      </c>
      <c r="G24" s="8" t="s">
        <v>151</v>
      </c>
      <c r="H24" s="8" t="s">
        <v>152</v>
      </c>
      <c r="I24" s="8" t="s">
        <v>153</v>
      </c>
    </row>
    <row r="25" customFormat="false" ht="15" hidden="false" customHeight="false" outlineLevel="0" collapsed="false">
      <c r="A25" s="32" t="s">
        <v>154</v>
      </c>
      <c r="C25" s="33" t="n">
        <f aca="false">IF(AND(0&gt;=2,0&lt;=1+$B$17),1,0)</f>
        <v>0</v>
      </c>
      <c r="D25" s="33" t="n">
        <f aca="false">IF(AND(1&gt;=2,1&lt;=1+$B$17),1,0)</f>
        <v>0</v>
      </c>
      <c r="E25" s="33" t="n">
        <f aca="false">IF(AND(2&gt;=2,2&lt;=1+$B$17),1,0)</f>
        <v>1</v>
      </c>
      <c r="F25" s="33" t="n">
        <f aca="false">IF(AND(3&gt;=2,3&lt;=1+$B$17),1,0)</f>
        <v>1</v>
      </c>
      <c r="G25" s="33" t="n">
        <f aca="false">IF(AND(4&gt;=2,4&lt;=1+$B$17),1,0)</f>
        <v>1</v>
      </c>
      <c r="H25" s="33" t="n">
        <f aca="false">IF(AND(5&gt;=2,5&lt;=1+$B$17),1,0)</f>
        <v>1</v>
      </c>
    </row>
    <row r="27" customFormat="false" ht="15" hidden="false" customHeight="false" outlineLevel="0" collapsed="false">
      <c r="A27" s="23" t="s">
        <v>155</v>
      </c>
      <c r="B27" s="23"/>
      <c r="C27" s="26" t="n">
        <f aca="false">C25*Допущения!B22</f>
        <v>0</v>
      </c>
      <c r="D27" s="26" t="n">
        <f aca="false">D25*Допущения!B22</f>
        <v>0</v>
      </c>
      <c r="E27" s="26" t="n">
        <f aca="false">E25*Допущения!B22</f>
        <v>625</v>
      </c>
      <c r="F27" s="26" t="n">
        <f aca="false">F25*Допущения!B22</f>
        <v>625</v>
      </c>
      <c r="G27" s="26" t="n">
        <f aca="false">G25*Допущения!B22</f>
        <v>625</v>
      </c>
      <c r="H27" s="26" t="n">
        <f aca="false">H25*Допущения!B22</f>
        <v>625</v>
      </c>
      <c r="I27" s="34" t="n">
        <f aca="false">SUM(C27:H27)</f>
        <v>2500</v>
      </c>
    </row>
    <row r="28" customFormat="false" ht="15" hidden="false" customHeight="false" outlineLevel="0" collapsed="false">
      <c r="A28" s="23" t="s">
        <v>156</v>
      </c>
      <c r="B28" s="23"/>
      <c r="C28" s="26" t="n">
        <f aca="false">C25*$B$15/$B$17</f>
        <v>0</v>
      </c>
      <c r="D28" s="26" t="n">
        <f aca="false">D25*$B$15/$B$17</f>
        <v>0</v>
      </c>
      <c r="E28" s="26" t="n">
        <f aca="false">E25*$B$15/$B$17</f>
        <v>6631.081875</v>
      </c>
      <c r="F28" s="26" t="n">
        <f aca="false">F25*$B$15/$B$17</f>
        <v>6631.081875</v>
      </c>
      <c r="G28" s="26" t="n">
        <f aca="false">G25*$B$15/$B$17</f>
        <v>6631.081875</v>
      </c>
      <c r="H28" s="26" t="n">
        <f aca="false">H25*$B$15/$B$17</f>
        <v>6631.081875</v>
      </c>
      <c r="I28" s="34" t="n">
        <f aca="false">SUM(C28:H28)</f>
        <v>26524.3275</v>
      </c>
    </row>
    <row r="29" customFormat="false" ht="15" hidden="false" customHeight="false" outlineLevel="0" collapsed="false">
      <c r="A29" s="23" t="s">
        <v>157</v>
      </c>
      <c r="B29" s="23"/>
      <c r="C29" s="26" t="n">
        <f aca="false">C25*$B$16/$B$17</f>
        <v>0</v>
      </c>
      <c r="D29" s="26" t="n">
        <f aca="false">D25*$B$16/$B$17</f>
        <v>0</v>
      </c>
      <c r="E29" s="26" t="n">
        <f aca="false">E25*$B$16/$B$17</f>
        <v>25117.734375</v>
      </c>
      <c r="F29" s="26" t="n">
        <f aca="false">F25*$B$16/$B$17</f>
        <v>25117.734375</v>
      </c>
      <c r="G29" s="26" t="n">
        <f aca="false">G25*$B$16/$B$17</f>
        <v>25117.734375</v>
      </c>
      <c r="H29" s="26" t="n">
        <f aca="false">H25*$B$16/$B$17</f>
        <v>25117.734375</v>
      </c>
      <c r="I29" s="34" t="n">
        <f aca="false">SUM(C29:H29)</f>
        <v>100470.9375</v>
      </c>
    </row>
    <row r="31" customFormat="false" ht="15" hidden="false" customHeight="false" outlineLevel="0" collapsed="false">
      <c r="A31" s="4" t="s">
        <v>158</v>
      </c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23" t="s">
        <v>159</v>
      </c>
      <c r="B32" s="23"/>
      <c r="C32" s="29" t="n">
        <f aca="false">C28*$B$20/1000</f>
        <v>0</v>
      </c>
      <c r="D32" s="29" t="n">
        <f aca="false">D28*$B$20/1000</f>
        <v>0</v>
      </c>
      <c r="E32" s="29" t="n">
        <f aca="false">E28*$B$20/1000</f>
        <v>21219.462</v>
      </c>
      <c r="F32" s="29" t="n">
        <f aca="false">F28*$B$20/1000</f>
        <v>21219.462</v>
      </c>
      <c r="G32" s="29" t="n">
        <f aca="false">G28*$B$20/1000</f>
        <v>21219.462</v>
      </c>
      <c r="H32" s="29" t="n">
        <f aca="false">H28*$B$20/1000</f>
        <v>21219.462</v>
      </c>
      <c r="I32" s="35" t="n">
        <f aca="false">SUM(C32:H32)</f>
        <v>84877.848</v>
      </c>
    </row>
    <row r="33" customFormat="false" ht="15" hidden="false" customHeight="false" outlineLevel="0" collapsed="false">
      <c r="A33" s="23" t="s">
        <v>160</v>
      </c>
      <c r="B33" s="23"/>
      <c r="C33" s="29" t="n">
        <f aca="false">C29*$B$21/1000</f>
        <v>0</v>
      </c>
      <c r="D33" s="29" t="n">
        <f aca="false">D29*$B$21/1000</f>
        <v>0</v>
      </c>
      <c r="E33" s="29" t="n">
        <f aca="false">E29*$B$21/1000</f>
        <v>1130.298046875</v>
      </c>
      <c r="F33" s="29" t="n">
        <f aca="false">F29*$B$21/1000</f>
        <v>1130.298046875</v>
      </c>
      <c r="G33" s="29" t="n">
        <f aca="false">G29*$B$21/1000</f>
        <v>1130.298046875</v>
      </c>
      <c r="H33" s="29" t="n">
        <f aca="false">H29*$B$21/1000</f>
        <v>1130.298046875</v>
      </c>
      <c r="I33" s="35" t="n">
        <f aca="false">SUM(C33:H33)</f>
        <v>4521.1921875</v>
      </c>
    </row>
    <row r="34" customFormat="false" ht="15" hidden="false" customHeight="false" outlineLevel="0" collapsed="false">
      <c r="A34" s="36" t="s">
        <v>161</v>
      </c>
      <c r="B34" s="37"/>
      <c r="C34" s="38" t="n">
        <f aca="false">C32+C33</f>
        <v>0</v>
      </c>
      <c r="D34" s="38" t="n">
        <f aca="false">D32+D33</f>
        <v>0</v>
      </c>
      <c r="E34" s="38" t="n">
        <f aca="false">E32+E33</f>
        <v>22349.760046875</v>
      </c>
      <c r="F34" s="38" t="n">
        <f aca="false">F32+F33</f>
        <v>22349.760046875</v>
      </c>
      <c r="G34" s="38" t="n">
        <f aca="false">G32+G33</f>
        <v>22349.760046875</v>
      </c>
      <c r="H34" s="38" t="n">
        <f aca="false">H32+H33</f>
        <v>22349.760046875</v>
      </c>
      <c r="I34" s="38" t="n">
        <f aca="false">SUM(C34:H34)</f>
        <v>89399.0401875</v>
      </c>
    </row>
    <row r="35" customFormat="false" ht="15" hidden="false" customHeight="false" outlineLevel="0" collapsed="false">
      <c r="A35" s="23" t="s">
        <v>80</v>
      </c>
      <c r="B35" s="23"/>
      <c r="C35" s="29" t="n">
        <f aca="false">-C27*Допущения!B24</f>
        <v>-0</v>
      </c>
      <c r="D35" s="29" t="n">
        <f aca="false">-D27*Допущения!B24</f>
        <v>-0</v>
      </c>
      <c r="E35" s="29" t="n">
        <f aca="false">-E27*Допущения!B24</f>
        <v>-10000</v>
      </c>
      <c r="F35" s="29" t="n">
        <f aca="false">-F27*Допущения!B24</f>
        <v>-10000</v>
      </c>
      <c r="G35" s="29" t="n">
        <f aca="false">-G27*Допущения!B24</f>
        <v>-10000</v>
      </c>
      <c r="H35" s="29" t="n">
        <f aca="false">-H27*Допущения!B24</f>
        <v>-10000</v>
      </c>
      <c r="I35" s="35" t="n">
        <f aca="false">SUM(C35:H35)</f>
        <v>-40000</v>
      </c>
    </row>
    <row r="36" customFormat="false" ht="15" hidden="false" customHeight="false" outlineLevel="0" collapsed="false">
      <c r="A36" s="23" t="s">
        <v>162</v>
      </c>
      <c r="B36" s="23"/>
      <c r="C36" s="29" t="n">
        <f aca="false">-C34*Допущения!B30*Допущения!B31</f>
        <v>-0</v>
      </c>
      <c r="D36" s="29" t="n">
        <f aca="false">-D34*Допущения!B30*Допущения!B31</f>
        <v>-0</v>
      </c>
      <c r="E36" s="29" t="n">
        <f aca="false">-E34*Допущения!B30*Допущения!B31</f>
        <v>-201.147840421875</v>
      </c>
      <c r="F36" s="29" t="n">
        <f aca="false">-F34*Допущения!B30*Допущения!B31</f>
        <v>-201.147840421875</v>
      </c>
      <c r="G36" s="29" t="n">
        <f aca="false">-G34*Допущения!B30*Допущения!B31</f>
        <v>-201.147840421875</v>
      </c>
      <c r="H36" s="29" t="n">
        <f aca="false">-H34*Допущения!B30*Допущения!B31</f>
        <v>-201.147840421875</v>
      </c>
      <c r="I36" s="35" t="n">
        <f aca="false">SUM(C36:H36)</f>
        <v>-804.5913616875</v>
      </c>
    </row>
    <row r="37" customFormat="false" ht="15" hidden="false" customHeight="false" outlineLevel="0" collapsed="false">
      <c r="A37" s="23" t="s">
        <v>163</v>
      </c>
      <c r="B37" s="23"/>
      <c r="C37" s="29" t="n">
        <f aca="false">-C25*Допущения!B27/$B$17</f>
        <v>-0</v>
      </c>
      <c r="D37" s="29" t="n">
        <f aca="false">-D25*Допущения!B27/$B$17</f>
        <v>-0</v>
      </c>
      <c r="E37" s="29" t="n">
        <f aca="false">-E25*Допущения!B27/$B$17</f>
        <v>-2000</v>
      </c>
      <c r="F37" s="29" t="n">
        <f aca="false">-F25*Допущения!B27/$B$17</f>
        <v>-2000</v>
      </c>
      <c r="G37" s="29" t="n">
        <f aca="false">-G25*Допущения!B27/$B$17</f>
        <v>-2000</v>
      </c>
      <c r="H37" s="29" t="n">
        <f aca="false">-H25*Допущения!B27/$B$17</f>
        <v>-2000</v>
      </c>
      <c r="I37" s="35" t="n">
        <f aca="false">SUM(C37:H37)</f>
        <v>-8000</v>
      </c>
    </row>
    <row r="38" customFormat="false" ht="15" hidden="false" customHeight="false" outlineLevel="0" collapsed="false">
      <c r="A38" s="36" t="s">
        <v>164</v>
      </c>
      <c r="B38" s="37"/>
      <c r="C38" s="38" t="n">
        <f aca="false">C34+C35+C36+C37</f>
        <v>0</v>
      </c>
      <c r="D38" s="38" t="n">
        <f aca="false">D34+D35+D36+D37</f>
        <v>0</v>
      </c>
      <c r="E38" s="38" t="n">
        <f aca="false">E34+E35+E36+E37</f>
        <v>10148.6122064531</v>
      </c>
      <c r="F38" s="38" t="n">
        <f aca="false">F34+F35+F36+F37</f>
        <v>10148.6122064531</v>
      </c>
      <c r="G38" s="38" t="n">
        <f aca="false">G34+G35+G36+G37</f>
        <v>10148.6122064531</v>
      </c>
      <c r="H38" s="38" t="n">
        <f aca="false">H34+H35+H36+H37</f>
        <v>10148.6122064531</v>
      </c>
      <c r="I38" s="38" t="n">
        <f aca="false">SUM(C38:H38)</f>
        <v>40594.4488258125</v>
      </c>
    </row>
    <row r="40" customFormat="false" ht="15" hidden="false" customHeight="false" outlineLevel="0" collapsed="false">
      <c r="A40" s="4" t="s">
        <v>165</v>
      </c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A41" s="23" t="s">
        <v>166</v>
      </c>
      <c r="B41" s="23"/>
      <c r="C41" s="29" t="n">
        <f aca="false">-(Допущения!B25+Допущения!B26)</f>
        <v>-8150</v>
      </c>
      <c r="D41" s="29" t="n">
        <f aca="false">0</f>
        <v>0</v>
      </c>
      <c r="E41" s="29" t="n">
        <f aca="false">0</f>
        <v>0</v>
      </c>
      <c r="F41" s="29" t="n">
        <f aca="false">0</f>
        <v>0</v>
      </c>
      <c r="G41" s="29" t="n">
        <f aca="false">0</f>
        <v>0</v>
      </c>
      <c r="H41" s="29" t="n">
        <f aca="false">0</f>
        <v>0</v>
      </c>
      <c r="I41" s="35" t="n">
        <f aca="false">SUM(C41:H41)</f>
        <v>-8150</v>
      </c>
    </row>
    <row r="42" customFormat="false" ht="15" hidden="false" customHeight="false" outlineLevel="0" collapsed="false">
      <c r="A42" s="23" t="s">
        <v>167</v>
      </c>
      <c r="B42" s="23"/>
      <c r="C42" s="29" t="n">
        <f aca="false">0</f>
        <v>0</v>
      </c>
      <c r="D42" s="29" t="n">
        <f aca="false">-Допущения!B23</f>
        <v>-18000</v>
      </c>
      <c r="E42" s="29" t="n">
        <f aca="false">0</f>
        <v>0</v>
      </c>
      <c r="F42" s="29" t="n">
        <f aca="false">0</f>
        <v>0</v>
      </c>
      <c r="G42" s="29" t="n">
        <f aca="false">0</f>
        <v>0</v>
      </c>
      <c r="H42" s="29" t="n">
        <f aca="false">0</f>
        <v>0</v>
      </c>
      <c r="I42" s="35" t="n">
        <f aca="false">SUM(C42:H42)</f>
        <v>-18000</v>
      </c>
    </row>
    <row r="43" customFormat="false" ht="15" hidden="false" customHeight="false" outlineLevel="0" collapsed="false">
      <c r="A43" s="23" t="s">
        <v>168</v>
      </c>
      <c r="B43" s="23"/>
      <c r="C43" s="29" t="n">
        <f aca="false">-C25*Допущения!B23/$B$17</f>
        <v>-0</v>
      </c>
      <c r="D43" s="29" t="n">
        <f aca="false">-D25*Допущения!B23/$B$17</f>
        <v>-0</v>
      </c>
      <c r="E43" s="29" t="n">
        <f aca="false">-E25*Допущения!B23/$B$17</f>
        <v>-4500</v>
      </c>
      <c r="F43" s="29" t="n">
        <f aca="false">-F25*Допущения!B23/$B$17</f>
        <v>-4500</v>
      </c>
      <c r="G43" s="29" t="n">
        <f aca="false">-G25*Допущения!B23/$B$17</f>
        <v>-4500</v>
      </c>
      <c r="H43" s="29" t="n">
        <f aca="false">-H25*Допущения!B23/$B$17</f>
        <v>-4500</v>
      </c>
      <c r="I43" s="35" t="n">
        <f aca="false">SUM(C43:H43)</f>
        <v>-18000</v>
      </c>
    </row>
    <row r="44" customFormat="false" ht="15" hidden="false" customHeight="false" outlineLevel="0" collapsed="false">
      <c r="A44" s="23" t="s">
        <v>169</v>
      </c>
      <c r="B44" s="23"/>
      <c r="C44" s="29" t="n">
        <f aca="false">MAX(0,C38+C43)</f>
        <v>0</v>
      </c>
      <c r="D44" s="29" t="n">
        <f aca="false">MAX(0,D38+D43)</f>
        <v>0</v>
      </c>
      <c r="E44" s="29" t="n">
        <f aca="false">MAX(0,E38+E43)</f>
        <v>5648.61220645313</v>
      </c>
      <c r="F44" s="29" t="n">
        <f aca="false">MAX(0,F38+F43)</f>
        <v>5648.61220645313</v>
      </c>
      <c r="G44" s="29" t="n">
        <f aca="false">MAX(0,G38+G43)</f>
        <v>5648.61220645313</v>
      </c>
      <c r="H44" s="29" t="n">
        <f aca="false">MAX(0,H38+H43)</f>
        <v>5648.61220645313</v>
      </c>
      <c r="I44" s="35" t="n">
        <f aca="false">SUM(C44:H44)</f>
        <v>22594.4488258125</v>
      </c>
    </row>
    <row r="45" customFormat="false" ht="15" hidden="false" customHeight="false" outlineLevel="0" collapsed="false">
      <c r="A45" s="23" t="s">
        <v>170</v>
      </c>
      <c r="B45" s="23"/>
      <c r="C45" s="29" t="n">
        <f aca="false">-C44*Допущения!B32*(1-Допущения!B33)</f>
        <v>-0</v>
      </c>
      <c r="D45" s="29" t="n">
        <f aca="false">-D44*Допущения!B32*(1-Допущения!B33)</f>
        <v>-0</v>
      </c>
      <c r="E45" s="29" t="n">
        <f aca="false">-E44*Допущения!B32*(1-Допущения!B33)</f>
        <v>-1129.72244129063</v>
      </c>
      <c r="F45" s="29" t="n">
        <f aca="false">-F44*Допущения!B32*(1-Допущения!B33)</f>
        <v>-1129.72244129063</v>
      </c>
      <c r="G45" s="29" t="n">
        <f aca="false">-G44*Допущения!B32*(1-Допущения!B33)</f>
        <v>-1129.72244129063</v>
      </c>
      <c r="H45" s="29" t="n">
        <f aca="false">-H44*Допущения!B32*(1-Допущения!B33)</f>
        <v>-1129.72244129063</v>
      </c>
      <c r="I45" s="35" t="n">
        <f aca="false">SUM(C45:H45)</f>
        <v>-4518.8897651625</v>
      </c>
    </row>
    <row r="47" customFormat="false" ht="15" hidden="false" customHeight="false" outlineLevel="0" collapsed="false">
      <c r="A47" s="4" t="s">
        <v>171</v>
      </c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false" outlineLevel="0" collapsed="false">
      <c r="A48" s="2" t="s">
        <v>172</v>
      </c>
      <c r="B48" s="23"/>
      <c r="C48" s="35" t="n">
        <f aca="false">C38+C41+C42</f>
        <v>-8150</v>
      </c>
      <c r="D48" s="35" t="n">
        <f aca="false">D38+D41+D42</f>
        <v>-18000</v>
      </c>
      <c r="E48" s="35" t="n">
        <f aca="false">E38+E41+E42</f>
        <v>10148.6122064531</v>
      </c>
      <c r="F48" s="35" t="n">
        <f aca="false">F38+F41+F42</f>
        <v>10148.6122064531</v>
      </c>
      <c r="G48" s="35" t="n">
        <f aca="false">G38+G41+G42</f>
        <v>10148.6122064531</v>
      </c>
      <c r="H48" s="35" t="n">
        <f aca="false">H38+H41+H42</f>
        <v>10148.6122064531</v>
      </c>
      <c r="I48" s="35" t="n">
        <f aca="false">SUM(C48:H48)</f>
        <v>14444.4488258125</v>
      </c>
    </row>
    <row r="49" customFormat="false" ht="15" hidden="false" customHeight="false" outlineLevel="0" collapsed="false">
      <c r="A49" s="36" t="s">
        <v>173</v>
      </c>
      <c r="B49" s="37"/>
      <c r="C49" s="38" t="n">
        <f aca="false">C48+C45</f>
        <v>-8150</v>
      </c>
      <c r="D49" s="38" t="n">
        <f aca="false">D48+D45</f>
        <v>-18000</v>
      </c>
      <c r="E49" s="38" t="n">
        <f aca="false">E48+E45</f>
        <v>9018.8897651625</v>
      </c>
      <c r="F49" s="38" t="n">
        <f aca="false">F48+F45</f>
        <v>9018.8897651625</v>
      </c>
      <c r="G49" s="38" t="n">
        <f aca="false">G48+G45</f>
        <v>9018.8897651625</v>
      </c>
      <c r="H49" s="38" t="n">
        <f aca="false">H48+H45</f>
        <v>9018.8897651625</v>
      </c>
      <c r="I49" s="38" t="n">
        <f aca="false">SUM(C49:H49)</f>
        <v>9925.55906065001</v>
      </c>
    </row>
    <row r="50" customFormat="false" ht="15" hidden="false" customHeight="false" outlineLevel="0" collapsed="false">
      <c r="A50" s="23" t="s">
        <v>174</v>
      </c>
      <c r="B50" s="23"/>
      <c r="C50" s="29" t="n">
        <f aca="false">C49</f>
        <v>-8150</v>
      </c>
      <c r="D50" s="29" t="n">
        <f aca="false">C50+D49</f>
        <v>-26150</v>
      </c>
      <c r="E50" s="29" t="n">
        <f aca="false">D50+E49</f>
        <v>-17131.1102348375</v>
      </c>
      <c r="F50" s="29" t="n">
        <f aca="false">E50+F49</f>
        <v>-8112.220469675</v>
      </c>
      <c r="G50" s="29" t="n">
        <f aca="false">F50+G49</f>
        <v>906.669295487507</v>
      </c>
      <c r="H50" s="29" t="n">
        <f aca="false">G50+H49</f>
        <v>9925.55906065001</v>
      </c>
      <c r="I50" s="39" t="n">
        <f aca="false">H50</f>
        <v>9925.55906065001</v>
      </c>
    </row>
    <row r="52" customFormat="false" ht="15" hidden="false" customHeight="false" outlineLevel="0" collapsed="false">
      <c r="A52" s="4" t="s">
        <v>175</v>
      </c>
      <c r="B52" s="4"/>
      <c r="C52" s="4"/>
      <c r="D52" s="4"/>
      <c r="E52" s="4"/>
      <c r="F52" s="4"/>
      <c r="G52" s="4"/>
      <c r="H52" s="4"/>
      <c r="I52" s="4"/>
    </row>
    <row r="53" customFormat="false" ht="15" hidden="false" customHeight="false" outlineLevel="0" collapsed="false">
      <c r="A53" s="2" t="s">
        <v>176</v>
      </c>
      <c r="B53" s="40" t="n">
        <f aca="false">-SUM(C41:H41)-SUM(C42:H42)</f>
        <v>26150</v>
      </c>
    </row>
    <row r="54" customFormat="false" ht="15" hidden="false" customHeight="false" outlineLevel="0" collapsed="false">
      <c r="A54" s="2" t="s">
        <v>177</v>
      </c>
      <c r="B54" s="40" t="n">
        <f aca="false">SUMIF(C25:H25,1,C49:H49)</f>
        <v>36075.55906065</v>
      </c>
    </row>
    <row r="55" customFormat="false" ht="15" hidden="false" customHeight="false" outlineLevel="0" collapsed="false">
      <c r="A55" s="2" t="s">
        <v>178</v>
      </c>
      <c r="B55" s="41" t="n">
        <f aca="false">IFERROR(B54/B53,0)</f>
        <v>1.37956248797897</v>
      </c>
    </row>
    <row r="56" customFormat="false" ht="15" hidden="false" customHeight="false" outlineLevel="0" collapsed="false">
      <c r="A56" s="2" t="s">
        <v>179</v>
      </c>
      <c r="B56" s="42" t="n">
        <f aca="false">IFERROR(IRR(C49:H49),0)</f>
        <v>0.124057397231964</v>
      </c>
    </row>
    <row r="57" customFormat="false" ht="15" hidden="false" customHeight="false" outlineLevel="0" collapsed="false">
      <c r="A57" s="2" t="s">
        <v>180</v>
      </c>
      <c r="B57" s="40" t="n">
        <f aca="false">C49+NPV(Допущения!B34,D49:H49)</f>
        <v>237.070478135625</v>
      </c>
    </row>
    <row r="58" customFormat="false" ht="15" hidden="false" customHeight="false" outlineLevel="0" collapsed="false">
      <c r="A58" s="2" t="s">
        <v>181</v>
      </c>
      <c r="B58" s="43" t="n">
        <f aca="false">COUNTIF(C50:H50,"&lt;0")</f>
        <v>4</v>
      </c>
    </row>
    <row r="59" customFormat="false" ht="15" hidden="false" customHeight="false" outlineLevel="0" collapsed="false">
      <c r="A59" s="2" t="s">
        <v>182</v>
      </c>
      <c r="B59" s="40" t="n">
        <f aca="false">IFERROR((Допущения!B25+Допущения!B26+Допущения!B23-SUM(C35:H35)-SUM(C37:H37)-SUM(C33:H33))*1000/$B$15/(1-Допущения!B30*Допущения!B31),0)</f>
        <v>2648.93269156889</v>
      </c>
    </row>
    <row r="61" customFormat="false" ht="15" hidden="false" customHeight="true" outlineLevel="0" collapsed="false">
      <c r="A61" s="44" t="s">
        <v>183</v>
      </c>
      <c r="B61" s="44"/>
      <c r="C61" s="44"/>
      <c r="D61" s="44"/>
      <c r="E61" s="44"/>
      <c r="F61" s="44"/>
      <c r="G61" s="44"/>
      <c r="H61" s="44"/>
      <c r="I61" s="44"/>
    </row>
    <row r="62" customFormat="false" ht="1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</row>
  </sheetData>
  <mergeCells count="9">
    <mergeCell ref="A1:I1"/>
    <mergeCell ref="A5:I5"/>
    <mergeCell ref="A19:I19"/>
    <mergeCell ref="A23:I23"/>
    <mergeCell ref="A31:I31"/>
    <mergeCell ref="A40:I40"/>
    <mergeCell ref="A47:I47"/>
    <mergeCell ref="A52:I52"/>
    <mergeCell ref="A61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21.7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185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7" t="s">
        <v>146</v>
      </c>
      <c r="B4" s="8" t="s">
        <v>186</v>
      </c>
      <c r="C4" s="8" t="s">
        <v>187</v>
      </c>
      <c r="D4" s="8" t="s">
        <v>188</v>
      </c>
    </row>
    <row r="5" customFormat="false" ht="15" hidden="false" customHeight="false" outlineLevel="0" collapsed="false">
      <c r="A5" s="23" t="s">
        <v>143</v>
      </c>
      <c r="B5" s="45" t="n">
        <f aca="false">Допущения!B8</f>
        <v>2600</v>
      </c>
      <c r="C5" s="45" t="n">
        <f aca="false">Допущения!B6</f>
        <v>3200</v>
      </c>
      <c r="D5" s="45" t="n">
        <f aca="false">Допущения!B7</f>
        <v>4376</v>
      </c>
    </row>
    <row r="6" customFormat="false" ht="15" hidden="false" customHeight="false" outlineLevel="0" collapsed="false">
      <c r="A6" s="23" t="s">
        <v>144</v>
      </c>
      <c r="B6" s="46" t="n">
        <f aca="false">Допущения!B11</f>
        <v>35</v>
      </c>
      <c r="C6" s="46" t="n">
        <f aca="false">Допущения!B9</f>
        <v>45</v>
      </c>
      <c r="D6" s="46" t="n">
        <f aca="false">Допущения!B10</f>
        <v>65.86</v>
      </c>
    </row>
    <row r="7" customFormat="false" ht="15" hidden="false" customHeight="false" outlineLevel="0" collapsed="false">
      <c r="A7" s="23" t="s">
        <v>189</v>
      </c>
      <c r="B7" s="29" t="n">
        <f aca="false">Проект!$B$15*B5/1000</f>
        <v>68963.2515</v>
      </c>
      <c r="C7" s="29" t="n">
        <f aca="false">Проект!$B$15*C5/1000</f>
        <v>84877.848</v>
      </c>
      <c r="D7" s="29" t="n">
        <f aca="false">Проект!$B$15*D5/1000</f>
        <v>116070.45714</v>
      </c>
    </row>
    <row r="8" customFormat="false" ht="15" hidden="false" customHeight="false" outlineLevel="0" collapsed="false">
      <c r="A8" s="23" t="s">
        <v>190</v>
      </c>
      <c r="B8" s="29" t="n">
        <f aca="false">Проект!$B$16*B6/1000</f>
        <v>3516.4828125</v>
      </c>
      <c r="C8" s="29" t="n">
        <f aca="false">Проект!$B$16*C6/1000</f>
        <v>4521.1921875</v>
      </c>
      <c r="D8" s="29" t="n">
        <f aca="false">Проект!$B$16*D6/1000</f>
        <v>6617.01594375</v>
      </c>
    </row>
    <row r="9" customFormat="false" ht="15" hidden="false" customHeight="false" outlineLevel="0" collapsed="false">
      <c r="A9" s="2" t="s">
        <v>191</v>
      </c>
      <c r="B9" s="47" t="n">
        <f aca="false">B7+B8</f>
        <v>72479.7343125</v>
      </c>
      <c r="C9" s="47" t="n">
        <f aca="false">C7+C8</f>
        <v>89399.0401875</v>
      </c>
      <c r="D9" s="47" t="n">
        <f aca="false">D7+D8</f>
        <v>122687.47308375</v>
      </c>
    </row>
    <row r="10" customFormat="false" ht="15" hidden="false" customHeight="false" outlineLevel="0" collapsed="false">
      <c r="A10" s="23" t="s">
        <v>192</v>
      </c>
      <c r="B10" s="29" t="n">
        <f aca="false">-Допущения!B17*Допущения!B24</f>
        <v>-40000</v>
      </c>
      <c r="C10" s="29" t="n">
        <f aca="false">-Допущения!B17*Допущения!B24</f>
        <v>-40000</v>
      </c>
      <c r="D10" s="29" t="n">
        <f aca="false">-Допущения!B17*Допущения!B24</f>
        <v>-40000</v>
      </c>
    </row>
    <row r="11" customFormat="false" ht="15" hidden="false" customHeight="false" outlineLevel="0" collapsed="false">
      <c r="A11" s="23" t="s">
        <v>193</v>
      </c>
      <c r="B11" s="29" t="n">
        <f aca="false">-B9*Допущения!B30*Допущения!B31</f>
        <v>-652.3176088125</v>
      </c>
      <c r="C11" s="29" t="n">
        <f aca="false">-C9*Допущения!B30*Допущения!B31</f>
        <v>-804.5913616875</v>
      </c>
      <c r="D11" s="29" t="n">
        <f aca="false">-D9*Допущения!B30*Допущения!B31</f>
        <v>-1104.18725775375</v>
      </c>
    </row>
    <row r="12" customFormat="false" ht="15" hidden="false" customHeight="false" outlineLevel="0" collapsed="false">
      <c r="A12" s="23" t="s">
        <v>194</v>
      </c>
      <c r="B12" s="29" t="n">
        <f aca="false">-Допущения!B27</f>
        <v>-8000</v>
      </c>
      <c r="C12" s="29" t="n">
        <f aca="false">-Допущения!B27</f>
        <v>-8000</v>
      </c>
      <c r="D12" s="29" t="n">
        <f aca="false">-Допущения!B27</f>
        <v>-8000</v>
      </c>
    </row>
    <row r="13" customFormat="false" ht="15" hidden="false" customHeight="false" outlineLevel="0" collapsed="false">
      <c r="A13" s="23" t="s">
        <v>195</v>
      </c>
      <c r="B13" s="29" t="n">
        <f aca="false">-Допущения!B23</f>
        <v>-18000</v>
      </c>
      <c r="C13" s="29" t="n">
        <f aca="false">-Допущения!B23</f>
        <v>-18000</v>
      </c>
      <c r="D13" s="29" t="n">
        <f aca="false">-Допущения!B23</f>
        <v>-18000</v>
      </c>
    </row>
    <row r="14" customFormat="false" ht="15" hidden="false" customHeight="false" outlineLevel="0" collapsed="false">
      <c r="A14" s="23" t="s">
        <v>196</v>
      </c>
      <c r="B14" s="29" t="n">
        <f aca="false">-(Допущения!B25+Допущения!B26)</f>
        <v>-8150</v>
      </c>
      <c r="C14" s="29" t="n">
        <f aca="false">-(Допущения!B25+Допущения!B26)</f>
        <v>-8150</v>
      </c>
      <c r="D14" s="29" t="n">
        <f aca="false">-(Допущения!B25+Допущения!B26)</f>
        <v>-8150</v>
      </c>
    </row>
    <row r="15" customFormat="false" ht="15" hidden="false" customHeight="false" outlineLevel="0" collapsed="false">
      <c r="A15" s="2" t="s">
        <v>197</v>
      </c>
      <c r="B15" s="47" t="n">
        <f aca="false">SUM(B9:B14)</f>
        <v>-2322.58329631248</v>
      </c>
      <c r="C15" s="47" t="n">
        <f aca="false">SUM(C9:C14)</f>
        <v>14444.4488258125</v>
      </c>
      <c r="D15" s="47" t="n">
        <f aca="false">SUM(D9:D14)</f>
        <v>47433.2858259963</v>
      </c>
    </row>
    <row r="16" customFormat="false" ht="15" hidden="false" customHeight="false" outlineLevel="0" collapsed="false">
      <c r="A16" s="23" t="s">
        <v>198</v>
      </c>
      <c r="B16" s="29" t="n">
        <f aca="false">-MAX(0,B9+B10+B11+B12-Допущения!B23)*Допущения!B32*(1-Допущения!B33)</f>
        <v>-1165.4833407375</v>
      </c>
      <c r="C16" s="29" t="n">
        <f aca="false">-MAX(0,C9+C10+C11+C12-Допущения!B23)*Допущения!B32*(1-Допущения!B33)</f>
        <v>-4518.8897651625</v>
      </c>
      <c r="D16" s="29" t="n">
        <f aca="false">-MAX(0,D9+D10+D11+D12-Допущения!B23)*Допущения!B32*(1-Допущения!B33)</f>
        <v>-11116.6571651993</v>
      </c>
    </row>
    <row r="17" customFormat="false" ht="15" hidden="false" customHeight="false" outlineLevel="0" collapsed="false">
      <c r="A17" s="2" t="s">
        <v>199</v>
      </c>
      <c r="B17" s="47" t="n">
        <f aca="false">B15+B16</f>
        <v>-3488.06663704999</v>
      </c>
      <c r="C17" s="47" t="n">
        <f aca="false">C15+C16</f>
        <v>9925.55906065001</v>
      </c>
      <c r="D17" s="47" t="n">
        <f aca="false">D15+D16</f>
        <v>36316.628660797</v>
      </c>
    </row>
    <row r="18" customFormat="false" ht="15" hidden="false" customHeight="false" outlineLevel="0" collapsed="false">
      <c r="A18" s="2" t="s">
        <v>178</v>
      </c>
      <c r="B18" s="48" t="n">
        <f aca="false">IFERROR((B17-B13-B14)/(-B13-B14),0)</f>
        <v>0.866613130514341</v>
      </c>
      <c r="C18" s="48" t="n">
        <f aca="false">IFERROR((C17-C13-C14)/(-C13-C14),0)</f>
        <v>1.37956248797897</v>
      </c>
      <c r="D18" s="48" t="n">
        <f aca="false">IFERROR((D17-D13-D14)/(-D13-D14),0)</f>
        <v>2.38878121073794</v>
      </c>
    </row>
    <row r="20" customFormat="false" ht="15" hidden="false" customHeight="false" outlineLevel="0" collapsed="false">
      <c r="A20" s="49" t="s">
        <v>200</v>
      </c>
    </row>
    <row r="22" customFormat="false" ht="15" hidden="false" customHeight="false" outlineLevel="0" collapsed="false">
      <c r="A22" s="4" t="s">
        <v>201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50" t="s">
        <v>202</v>
      </c>
      <c r="B23" s="51" t="n">
        <v>0.45</v>
      </c>
      <c r="C23" s="51" t="n">
        <v>0.55</v>
      </c>
      <c r="D23" s="51" t="n">
        <v>0.65</v>
      </c>
      <c r="E23" s="51" t="n">
        <v>0.75</v>
      </c>
      <c r="F23" s="51" t="n">
        <v>0.85</v>
      </c>
    </row>
    <row r="24" customFormat="false" ht="15" hidden="false" customHeight="false" outlineLevel="0" collapsed="false">
      <c r="A24" s="52" t="n">
        <v>2600</v>
      </c>
      <c r="B24" s="53" t="n">
        <f aca="false">(Допущения!$B$17*Допущения!$B$18*B$23*Допущения!$B$14*$A24/1000)+(Допущения!$B$17*Допущения!$B$19*Допущения!$B$21*Допущения!$B$14*Допущения!$B$9/1000)-Допущения!$B$17*Допущения!$B$24-((Допущения!$B$17*Допущения!$B$18*B$23*Допущения!$B$14*$A24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-13752.8403486875</v>
      </c>
      <c r="C24" s="53" t="n">
        <f aca="false">(Допущения!$B$17*Допущения!$B$18*C$23*Допущения!$B$14*$A24/1000)+(Допущения!$B$17*Допущения!$B$19*Допущения!$B$21*Допущения!$B$14*Допущения!$B$9/1000)-Допущения!$B$17*Допущения!$B$24-((Допущения!$B$17*Допущения!$B$18*C$23*Допущения!$B$14*$A24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-1326.91630568749</v>
      </c>
      <c r="D24" s="53" t="n">
        <f aca="false">(Допущения!$B$17*Допущения!$B$18*D$23*Допущения!$B$14*$A24/1000)+(Допущения!$B$17*Допущения!$B$19*Допущения!$B$21*Допущения!$B$14*Допущения!$B$9/1000)-Допущения!$B$17*Допущения!$B$24-((Допущения!$B$17*Допущения!$B$18*D$23*Допущения!$B$14*$A24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11099.0077373125</v>
      </c>
      <c r="E24" s="53" t="n">
        <f aca="false">(Допущения!$B$17*Допущения!$B$18*E$23*Допущения!$B$14*$A24/1000)+(Допущения!$B$17*Допущения!$B$19*Допущения!$B$21*Допущения!$B$14*Допущения!$B$9/1000)-Допущения!$B$17*Допущения!$B$24-((Допущения!$B$17*Допущения!$B$18*E$23*Допущения!$B$14*$A24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23524.9317803125</v>
      </c>
      <c r="F24" s="53" t="n">
        <f aca="false">(Допущения!$B$17*Допущения!$B$18*F$23*Допущения!$B$14*$A24/1000)+(Допущения!$B$17*Допущения!$B$19*Допущения!$B$21*Допущения!$B$14*Допущения!$B$9/1000)-Допущения!$B$17*Допущения!$B$24-((Допущения!$B$17*Допущения!$B$18*F$23*Допущения!$B$14*$A24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35950.8558233125</v>
      </c>
    </row>
    <row r="25" customFormat="false" ht="15" hidden="false" customHeight="false" outlineLevel="0" collapsed="false">
      <c r="A25" s="52" t="n">
        <v>3000</v>
      </c>
      <c r="B25" s="53" t="n">
        <f aca="false">(Допущения!$B$17*Допущения!$B$18*B$23*Допущения!$B$14*$A25/1000)+(Допущения!$B$17*Допущения!$B$19*Допущения!$B$21*Допущения!$B$14*Допущения!$B$9/1000)-Допущения!$B$17*Допущения!$B$24-((Допущения!$B$17*Допущения!$B$18*B$23*Допущения!$B$14*$A25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-5150.27754968749</v>
      </c>
      <c r="C25" s="53" t="n">
        <f aca="false">(Допущения!$B$17*Допущения!$B$18*C$23*Допущения!$B$14*$A25/1000)+(Допущения!$B$17*Допущения!$B$19*Допущения!$B$21*Допущения!$B$14*Допущения!$B$9/1000)-Допущения!$B$17*Допущения!$B$24-((Допущения!$B$17*Допущения!$B$18*C$23*Допущения!$B$14*$A25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9187.32711531251</v>
      </c>
      <c r="D25" s="53" t="n">
        <f aca="false">(Допущения!$B$17*Допущения!$B$18*D$23*Допущения!$B$14*$A25/1000)+(Допущения!$B$17*Допущения!$B$19*Допущения!$B$21*Допущения!$B$14*Допущения!$B$9/1000)-Допущения!$B$17*Допущения!$B$24-((Допущения!$B$17*Допущения!$B$18*D$23*Допущения!$B$14*$A25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23524.9317803125</v>
      </c>
      <c r="E25" s="53" t="n">
        <f aca="false">(Допущения!$B$17*Допущения!$B$18*E$23*Допущения!$B$14*$A25/1000)+(Допущения!$B$17*Допущения!$B$19*Допущения!$B$21*Допущения!$B$14*Допущения!$B$9/1000)-Допущения!$B$17*Допущения!$B$24-((Допущения!$B$17*Допущения!$B$18*E$23*Допущения!$B$14*$A25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37862.5364453125</v>
      </c>
      <c r="F25" s="53" t="n">
        <f aca="false">(Допущения!$B$17*Допущения!$B$18*F$23*Допущения!$B$14*$A25/1000)+(Допущения!$B$17*Допущения!$B$19*Допущения!$B$21*Допущения!$B$14*Допущения!$B$9/1000)-Допущения!$B$17*Допущения!$B$24-((Допущения!$B$17*Допущения!$B$18*F$23*Допущения!$B$14*$A25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52200.1411103125</v>
      </c>
    </row>
    <row r="26" customFormat="false" ht="15" hidden="false" customHeight="false" outlineLevel="0" collapsed="false">
      <c r="A26" s="52" t="n">
        <v>3400</v>
      </c>
      <c r="B26" s="53" t="n">
        <f aca="false">(Допущения!$B$17*Допущения!$B$18*B$23*Допущения!$B$14*$A26/1000)+(Допущения!$B$17*Допущения!$B$19*Допущения!$B$21*Допущения!$B$14*Допущения!$B$9/1000)-Допущения!$B$17*Допущения!$B$24-((Допущения!$B$17*Допущения!$B$18*B$23*Допущения!$B$14*$A26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3452.28524931249</v>
      </c>
      <c r="C26" s="53" t="n">
        <f aca="false">(Допущения!$B$17*Допущения!$B$18*C$23*Допущения!$B$14*$A26/1000)+(Допущения!$B$17*Допущения!$B$19*Допущения!$B$21*Допущения!$B$14*Допущения!$B$9/1000)-Допущения!$B$17*Допущения!$B$24-((Допущения!$B$17*Допущения!$B$18*C$23*Допущения!$B$14*$A26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19701.5705363125</v>
      </c>
      <c r="D26" s="53" t="n">
        <f aca="false">(Допущения!$B$17*Допущения!$B$18*D$23*Допущения!$B$14*$A26/1000)+(Допущения!$B$17*Допущения!$B$19*Допущения!$B$21*Допущения!$B$14*Допущения!$B$9/1000)-Допущения!$B$17*Допущения!$B$24-((Допущения!$B$17*Допущения!$B$18*D$23*Допущения!$B$14*$A26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35950.8558233125</v>
      </c>
      <c r="E26" s="53" t="n">
        <f aca="false">(Допущения!$B$17*Допущения!$B$18*E$23*Допущения!$B$14*$A26/1000)+(Допущения!$B$17*Допущения!$B$19*Допущения!$B$21*Допущения!$B$14*Допущения!$B$9/1000)-Допущения!$B$17*Допущения!$B$24-((Допущения!$B$17*Допущения!$B$18*E$23*Допущения!$B$14*$A26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52200.1411103125</v>
      </c>
      <c r="F26" s="53" t="n">
        <f aca="false">(Допущения!$B$17*Допущения!$B$18*F$23*Допущения!$B$14*$A26/1000)+(Допущения!$B$17*Допущения!$B$19*Допущения!$B$21*Допущения!$B$14*Допущения!$B$9/1000)-Допущения!$B$17*Допущения!$B$24-((Допущения!$B$17*Допущения!$B$18*F$23*Допущения!$B$14*$A26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68449.4263973125</v>
      </c>
    </row>
    <row r="27" customFormat="false" ht="15" hidden="false" customHeight="false" outlineLevel="0" collapsed="false">
      <c r="A27" s="52" t="n">
        <v>3800</v>
      </c>
      <c r="B27" s="53" t="n">
        <f aca="false">(Допущения!$B$17*Допущения!$B$18*B$23*Допущения!$B$14*$A27/1000)+(Допущения!$B$17*Допущения!$B$19*Допущения!$B$21*Допущения!$B$14*Допущения!$B$9/1000)-Допущения!$B$17*Допущения!$B$24-((Допущения!$B$17*Допущения!$B$18*B$23*Допущения!$B$14*$A27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12054.8480483125</v>
      </c>
      <c r="C27" s="53" t="n">
        <f aca="false">(Допущения!$B$17*Допущения!$B$18*C$23*Допущения!$B$14*$A27/1000)+(Допущения!$B$17*Допущения!$B$19*Допущения!$B$21*Допущения!$B$14*Допущения!$B$9/1000)-Допущения!$B$17*Допущения!$B$24-((Допущения!$B$17*Допущения!$B$18*C$23*Допущения!$B$14*$A27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30215.8139573125</v>
      </c>
      <c r="D27" s="53" t="n">
        <f aca="false">(Допущения!$B$17*Допущения!$B$18*D$23*Допущения!$B$14*$A27/1000)+(Допущения!$B$17*Допущения!$B$19*Допущения!$B$21*Допущения!$B$14*Допущения!$B$9/1000)-Допущения!$B$17*Допущения!$B$24-((Допущения!$B$17*Допущения!$B$18*D$23*Допущения!$B$14*$A27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48376.7798663125</v>
      </c>
      <c r="E27" s="53" t="n">
        <f aca="false">(Допущения!$B$17*Допущения!$B$18*E$23*Допущения!$B$14*$A27/1000)+(Допущения!$B$17*Допущения!$B$19*Допущения!$B$21*Допущения!$B$14*Допущения!$B$9/1000)-Допущения!$B$17*Допущения!$B$24-((Допущения!$B$17*Допущения!$B$18*E$23*Допущения!$B$14*$A27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66537.7457753125</v>
      </c>
      <c r="F27" s="53" t="n">
        <f aca="false">(Допущения!$B$17*Допущения!$B$18*F$23*Допущения!$B$14*$A27/1000)+(Допущения!$B$17*Допущения!$B$19*Допущения!$B$21*Допущения!$B$14*Допущения!$B$9/1000)-Допущения!$B$17*Допущения!$B$24-((Допущения!$B$17*Допущения!$B$18*F$23*Допущения!$B$14*$A27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84698.7116843125</v>
      </c>
    </row>
    <row r="28" customFormat="false" ht="15" hidden="false" customHeight="false" outlineLevel="0" collapsed="false">
      <c r="A28" s="52" t="n">
        <v>4376</v>
      </c>
      <c r="B28" s="53" t="n">
        <f aca="false">(Допущения!$B$17*Допущения!$B$18*B$23*Допущения!$B$14*$A28/1000)+(Допущения!$B$17*Допущения!$B$19*Допущения!$B$21*Допущения!$B$14*Допущения!$B$9/1000)-Допущения!$B$17*Допущения!$B$24-((Допущения!$B$17*Допущения!$B$18*B$23*Допущения!$B$14*$A28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24442.5384788725</v>
      </c>
      <c r="C28" s="53" t="n">
        <f aca="false">(Допущения!$B$17*Допущения!$B$18*C$23*Допущения!$B$14*$A28/1000)+(Допущения!$B$17*Допущения!$B$19*Допущения!$B$21*Допущения!$B$14*Допущения!$B$9/1000)-Допущения!$B$17*Допущения!$B$24-((Допущения!$B$17*Допущения!$B$18*C$23*Допущения!$B$14*$A28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45356.3244835525</v>
      </c>
      <c r="D28" s="53" t="n">
        <f aca="false">(Допущения!$B$17*Допущения!$B$18*D$23*Допущения!$B$14*$A28/1000)+(Допущения!$B$17*Допущения!$B$19*Допущения!$B$21*Допущения!$B$14*Допущения!$B$9/1000)-Допущения!$B$17*Допущения!$B$24-((Допущения!$B$17*Допущения!$B$18*D$23*Допущения!$B$14*$A28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66270.1104882325</v>
      </c>
      <c r="E28" s="53" t="n">
        <f aca="false">(Допущения!$B$17*Допущения!$B$18*E$23*Допущения!$B$14*$A28/1000)+(Допущения!$B$17*Допущения!$B$19*Допущения!$B$21*Допущения!$B$14*Допущения!$B$9/1000)-Допущения!$B$17*Допущения!$B$24-((Допущения!$B$17*Допущения!$B$18*E$23*Допущения!$B$14*$A28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87183.8964929125</v>
      </c>
      <c r="F28" s="53" t="n">
        <f aca="false">(Допущения!$B$17*Допущения!$B$18*F$23*Допущения!$B$14*$A28/1000)+(Допущения!$B$17*Допущения!$B$19*Допущения!$B$21*Допущения!$B$14*Допущения!$B$9/1000)-Допущения!$B$17*Допущения!$B$24-((Допущения!$B$17*Допущения!$B$18*F$23*Допущения!$B$14*$A28/1000)+(Допущения!$B$17*Допущения!$B$19*Допущения!$B$21*Допущения!$B$14*Допущения!$B$9/1000))*Допущения!$B$30*Допущения!$B$31-Допущения!$B$27-Допущения!$B$23-Допущения!$B$25-Допущения!$B$26</f>
        <v>108097.682497593</v>
      </c>
    </row>
    <row r="30" customFormat="false" ht="15" hidden="false" customHeight="true" outlineLevel="0" collapsed="false">
      <c r="A30" s="44" t="s">
        <v>203</v>
      </c>
      <c r="B30" s="44"/>
      <c r="C30" s="44"/>
      <c r="D30" s="44"/>
      <c r="E30" s="44"/>
      <c r="F30" s="44"/>
      <c r="G30" s="44"/>
    </row>
    <row r="31" customFormat="false" ht="15" hidden="false" customHeight="false" outlineLevel="0" collapsed="false">
      <c r="A31" s="44"/>
      <c r="B31" s="44"/>
      <c r="C31" s="44"/>
      <c r="D31" s="44"/>
      <c r="E31" s="44"/>
      <c r="F31" s="44"/>
      <c r="G31" s="44"/>
    </row>
  </sheetData>
  <mergeCells count="4">
    <mergeCell ref="A1:G1"/>
    <mergeCell ref="A3:G3"/>
    <mergeCell ref="A22:G22"/>
    <mergeCell ref="A30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4" t="s">
        <v>205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false" outlineLevel="0" collapsed="false">
      <c r="A4" s="23" t="s">
        <v>206</v>
      </c>
      <c r="B4" s="54" t="n">
        <f aca="false">Допущения!B37</f>
        <v>30000</v>
      </c>
    </row>
    <row r="5" customFormat="false" ht="15" hidden="false" customHeight="false" outlineLevel="0" collapsed="false">
      <c r="A5" s="23" t="s">
        <v>207</v>
      </c>
      <c r="B5" s="54" t="n">
        <f aca="false">Допущения!B37*Допущения!B38</f>
        <v>450</v>
      </c>
    </row>
    <row r="6" customFormat="false" ht="15" hidden="false" customHeight="false" outlineLevel="0" collapsed="false">
      <c r="A6" s="23" t="s">
        <v>107</v>
      </c>
      <c r="B6" s="55" t="n">
        <f aca="false">Допущения!B39</f>
        <v>0.02</v>
      </c>
    </row>
    <row r="7" customFormat="false" ht="15" hidden="false" customHeight="false" outlineLevel="0" collapsed="false">
      <c r="A7" s="23" t="s">
        <v>109</v>
      </c>
      <c r="B7" s="55" t="n">
        <f aca="false">Допущения!B40</f>
        <v>0.2</v>
      </c>
    </row>
    <row r="8" customFormat="false" ht="15" hidden="false" customHeight="false" outlineLevel="0" collapsed="false">
      <c r="A8" s="23" t="s">
        <v>208</v>
      </c>
      <c r="B8" s="55" t="n">
        <f aca="false">Допущения!B41</f>
        <v>0.08</v>
      </c>
    </row>
    <row r="9" customFormat="false" ht="15" hidden="false" customHeight="false" outlineLevel="0" collapsed="false">
      <c r="A9" s="23" t="s">
        <v>209</v>
      </c>
      <c r="B9" s="56" t="n">
        <f aca="false">Допущения!B45</f>
        <v>2.6</v>
      </c>
    </row>
    <row r="11" customFormat="false" ht="15" hidden="false" customHeight="false" outlineLevel="0" collapsed="false">
      <c r="A11" s="4" t="s">
        <v>210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7" t="s">
        <v>146</v>
      </c>
      <c r="B12" s="8" t="s">
        <v>148</v>
      </c>
      <c r="C12" s="8" t="s">
        <v>149</v>
      </c>
      <c r="D12" s="8" t="s">
        <v>150</v>
      </c>
      <c r="E12" s="8" t="s">
        <v>151</v>
      </c>
      <c r="F12" s="8" t="s">
        <v>152</v>
      </c>
      <c r="G12" s="8" t="s">
        <v>211</v>
      </c>
      <c r="H12" s="8" t="s">
        <v>212</v>
      </c>
      <c r="I12" s="8" t="s">
        <v>213</v>
      </c>
      <c r="J12" s="8" t="s">
        <v>214</v>
      </c>
      <c r="K12" s="8" t="s">
        <v>215</v>
      </c>
      <c r="L12" s="8" t="s">
        <v>153</v>
      </c>
    </row>
    <row r="13" customFormat="false" ht="15" hidden="false" customHeight="false" outlineLevel="0" collapsed="false">
      <c r="A13" s="32" t="s">
        <v>216</v>
      </c>
      <c r="B13" s="57" t="n">
        <v>0.2</v>
      </c>
      <c r="C13" s="57" t="n">
        <v>0.25</v>
      </c>
      <c r="D13" s="57" t="n">
        <v>0.25</v>
      </c>
      <c r="E13" s="57" t="n">
        <v>0.2</v>
      </c>
      <c r="F13" s="57" t="n">
        <v>0.1</v>
      </c>
      <c r="G13" s="57" t="n">
        <v>0</v>
      </c>
      <c r="H13" s="57" t="n">
        <v>0</v>
      </c>
      <c r="I13" s="57" t="n">
        <v>0</v>
      </c>
      <c r="J13" s="57" t="n">
        <v>0</v>
      </c>
      <c r="K13" s="57" t="n">
        <v>0</v>
      </c>
      <c r="L13" s="58" t="n">
        <f aca="false">SUM(B13:K13)</f>
        <v>1</v>
      </c>
    </row>
    <row r="14" customFormat="false" ht="15" hidden="false" customHeight="false" outlineLevel="0" collapsed="false">
      <c r="A14" s="32" t="s">
        <v>217</v>
      </c>
      <c r="B14" s="57" t="n">
        <v>0</v>
      </c>
      <c r="C14" s="57" t="n">
        <v>0</v>
      </c>
      <c r="D14" s="57" t="n">
        <v>0</v>
      </c>
      <c r="E14" s="57" t="n">
        <v>0.044</v>
      </c>
      <c r="F14" s="57" t="n">
        <v>0.087</v>
      </c>
      <c r="G14" s="57" t="n">
        <v>0.145</v>
      </c>
      <c r="H14" s="57" t="n">
        <v>0.203</v>
      </c>
      <c r="I14" s="57" t="n">
        <v>0.232</v>
      </c>
      <c r="J14" s="57" t="n">
        <v>0.174</v>
      </c>
      <c r="K14" s="57" t="n">
        <v>0.115</v>
      </c>
      <c r="L14" s="58" t="n">
        <f aca="false">SUM(B14:K14)</f>
        <v>1</v>
      </c>
    </row>
    <row r="16" customFormat="false" ht="15" hidden="false" customHeight="false" outlineLevel="0" collapsed="false">
      <c r="A16" s="23" t="s">
        <v>218</v>
      </c>
      <c r="B16" s="29" t="n">
        <f aca="false">B13*$B$4</f>
        <v>6000</v>
      </c>
      <c r="C16" s="29" t="n">
        <f aca="false">C13*$B$4</f>
        <v>7500</v>
      </c>
      <c r="D16" s="29" t="n">
        <f aca="false">D13*$B$4</f>
        <v>7500</v>
      </c>
      <c r="E16" s="29" t="n">
        <f aca="false">E13*$B$4</f>
        <v>6000</v>
      </c>
      <c r="F16" s="29" t="n">
        <f aca="false">F13*$B$4</f>
        <v>3000</v>
      </c>
      <c r="G16" s="29" t="n">
        <f aca="false">G13*$B$4</f>
        <v>0</v>
      </c>
      <c r="H16" s="29" t="n">
        <f aca="false">H13*$B$4</f>
        <v>0</v>
      </c>
      <c r="I16" s="29" t="n">
        <f aca="false">I13*$B$4</f>
        <v>0</v>
      </c>
      <c r="J16" s="29" t="n">
        <f aca="false">J13*$B$4</f>
        <v>0</v>
      </c>
      <c r="K16" s="29" t="n">
        <f aca="false">K13*$B$4</f>
        <v>0</v>
      </c>
      <c r="L16" s="38" t="n">
        <f aca="false">SUM(B16:K16)</f>
        <v>30000</v>
      </c>
    </row>
    <row r="17" customFormat="false" ht="15" hidden="false" customHeight="false" outlineLevel="0" collapsed="false">
      <c r="A17" s="23" t="s">
        <v>107</v>
      </c>
      <c r="B17" s="29" t="n">
        <f aca="false">$B$6*$B$4</f>
        <v>600</v>
      </c>
      <c r="C17" s="29" t="n">
        <f aca="false">$B$6*$B$4</f>
        <v>600</v>
      </c>
      <c r="D17" s="29" t="n">
        <f aca="false">$B$6*$B$4</f>
        <v>600</v>
      </c>
      <c r="E17" s="29" t="n">
        <f aca="false">$B$6*$B$4</f>
        <v>600</v>
      </c>
      <c r="F17" s="29" t="n">
        <f aca="false">$B$6*$B$4</f>
        <v>600</v>
      </c>
      <c r="G17" s="29" t="n">
        <f aca="false">$B$6*$B$21*(1-SUM($B$14:F$14))</f>
        <v>464.046</v>
      </c>
      <c r="H17" s="29" t="n">
        <f aca="false">$B$6*$B$21*(1-SUM($B$14:G$14))</f>
        <v>386.616</v>
      </c>
      <c r="I17" s="29" t="n">
        <f aca="false">$B$6*$B$21*(1-SUM($B$14:H$14))</f>
        <v>278.214</v>
      </c>
      <c r="J17" s="29" t="n">
        <f aca="false">$B$6*$B$21*(1-SUM($B$14:I$14))</f>
        <v>154.326</v>
      </c>
      <c r="K17" s="29" t="n">
        <f aca="false">$B$6*$B$21*(1-SUM($B$14:J$14))</f>
        <v>61.41</v>
      </c>
      <c r="L17" s="38" t="n">
        <f aca="false">SUM(B17:K17)</f>
        <v>4344.612</v>
      </c>
    </row>
    <row r="18" customFormat="false" ht="15" hidden="false" customHeight="false" outlineLevel="0" collapsed="false">
      <c r="A18" s="23" t="s">
        <v>219</v>
      </c>
      <c r="B18" s="29" t="n">
        <f aca="false">B14*$B$22</f>
        <v>0</v>
      </c>
      <c r="C18" s="29" t="n">
        <f aca="false">C14*$B$22</f>
        <v>0</v>
      </c>
      <c r="D18" s="29" t="n">
        <f aca="false">D14*$B$22</f>
        <v>0</v>
      </c>
      <c r="E18" s="29" t="n">
        <f aca="false">E14*$B$22</f>
        <v>3054.48</v>
      </c>
      <c r="F18" s="29" t="n">
        <f aca="false">F14*$B$22</f>
        <v>6039.54</v>
      </c>
      <c r="G18" s="29" t="n">
        <f aca="false">G14*$B$22</f>
        <v>10065.9</v>
      </c>
      <c r="H18" s="29" t="n">
        <f aca="false">H14*$B$22</f>
        <v>14092.26</v>
      </c>
      <c r="I18" s="29" t="n">
        <f aca="false">I14*$B$22</f>
        <v>16105.44</v>
      </c>
      <c r="J18" s="29" t="n">
        <f aca="false">J14*$B$22</f>
        <v>12079.08</v>
      </c>
      <c r="K18" s="29" t="n">
        <f aca="false">K14*$B$22</f>
        <v>7983.3</v>
      </c>
      <c r="L18" s="38" t="n">
        <f aca="false">SUM(B18:K18)</f>
        <v>69420</v>
      </c>
    </row>
    <row r="20" customFormat="false" ht="15" hidden="false" customHeight="false" outlineLevel="0" collapsed="false">
      <c r="A20" s="4" t="s">
        <v>220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2" t="s">
        <v>221</v>
      </c>
      <c r="B21" s="40" t="n">
        <f aca="false">$B$4-SUM(B17:F17)-Допущения!B44</f>
        <v>26700</v>
      </c>
      <c r="D21" s="49" t="s">
        <v>222</v>
      </c>
    </row>
    <row r="22" customFormat="false" ht="15" hidden="false" customHeight="false" outlineLevel="0" collapsed="false">
      <c r="A22" s="2" t="s">
        <v>223</v>
      </c>
      <c r="B22" s="40" t="n">
        <f aca="false">$B$21*$B$9</f>
        <v>69420</v>
      </c>
      <c r="D22" s="49" t="s">
        <v>224</v>
      </c>
    </row>
    <row r="23" customFormat="false" ht="15" hidden="false" customHeight="false" outlineLevel="0" collapsed="false">
      <c r="A23" s="2" t="s">
        <v>225</v>
      </c>
      <c r="B23" s="40" t="n">
        <f aca="false">L17</f>
        <v>4344.612</v>
      </c>
      <c r="D23" s="49" t="s">
        <v>226</v>
      </c>
    </row>
    <row r="24" customFormat="false" ht="15" hidden="false" customHeight="false" outlineLevel="0" collapsed="false">
      <c r="A24" s="2" t="s">
        <v>227</v>
      </c>
      <c r="B24" s="40" t="n">
        <f aca="false">$B$22-$B$4</f>
        <v>39420</v>
      </c>
      <c r="D24" s="49" t="s">
        <v>228</v>
      </c>
    </row>
    <row r="25" customFormat="false" ht="15" hidden="false" customHeight="false" outlineLevel="0" collapsed="false">
      <c r="A25" s="2" t="s">
        <v>229</v>
      </c>
      <c r="B25" s="40" t="n">
        <f aca="false">$B$4*((1+$B$8)^Допущения!B42-1)</f>
        <v>14079.842304</v>
      </c>
      <c r="D25" s="49" t="s">
        <v>230</v>
      </c>
    </row>
    <row r="26" customFormat="false" ht="15" hidden="false" customHeight="false" outlineLevel="0" collapsed="false">
      <c r="A26" s="2" t="s">
        <v>231</v>
      </c>
      <c r="B26" s="59" t="str">
        <f aca="false">IF($B$24&gt;$B$25,"ДА","НЕТ")</f>
        <v>ДА</v>
      </c>
      <c r="D26" s="49" t="s">
        <v>232</v>
      </c>
    </row>
    <row r="27" customFormat="false" ht="15" hidden="false" customHeight="false" outlineLevel="0" collapsed="false">
      <c r="A27" s="2" t="s">
        <v>233</v>
      </c>
      <c r="B27" s="40" t="n">
        <f aca="false">IF($B$24&gt;$B$25,$B$24*$B$7,0)</f>
        <v>7884</v>
      </c>
      <c r="D27" s="49" t="s">
        <v>234</v>
      </c>
    </row>
    <row r="28" customFormat="false" ht="15" hidden="false" customHeight="false" outlineLevel="0" collapsed="false">
      <c r="A28" s="2" t="s">
        <v>235</v>
      </c>
      <c r="B28" s="40" t="n">
        <f aca="false">$B$22-$B$27</f>
        <v>61536</v>
      </c>
    </row>
    <row r="29" customFormat="false" ht="15" hidden="false" customHeight="false" outlineLevel="0" collapsed="false">
      <c r="A29" s="2" t="s">
        <v>236</v>
      </c>
      <c r="B29" s="41" t="n">
        <f aca="false">IFERROR($B$28/$B$4,0)</f>
        <v>2.0512</v>
      </c>
    </row>
    <row r="30" customFormat="false" ht="15" hidden="false" customHeight="false" outlineLevel="0" collapsed="false">
      <c r="A30" s="2" t="s">
        <v>237</v>
      </c>
      <c r="B30" s="42" t="n">
        <f aca="false">IFERROR(IRR(B32:K32),0)</f>
        <v>0.167545968679613</v>
      </c>
      <c r="D30" s="49" t="s">
        <v>238</v>
      </c>
    </row>
    <row r="31" customFormat="false" ht="15" hidden="false" customHeight="false" outlineLevel="0" collapsed="false">
      <c r="A31" s="2" t="s">
        <v>239</v>
      </c>
      <c r="B31" s="40" t="n">
        <f aca="false">$B$23+$B$27</f>
        <v>12228.612</v>
      </c>
      <c r="D31" s="49" t="s">
        <v>240</v>
      </c>
    </row>
    <row r="32" customFormat="false" ht="15" hidden="false" customHeight="false" outlineLevel="0" collapsed="false">
      <c r="A32" s="2" t="s">
        <v>241</v>
      </c>
      <c r="B32" s="29" t="n">
        <f aca="false">-B16+B18*(1-IFERROR($B$27/$B$22,0))</f>
        <v>-6000</v>
      </c>
      <c r="C32" s="29" t="n">
        <f aca="false">-C16+C18*(1-IFERROR($B$27/$B$22,0))</f>
        <v>-7500</v>
      </c>
      <c r="D32" s="29" t="n">
        <f aca="false">-D16+D18*(1-IFERROR($B$27/$B$22,0))</f>
        <v>-7500</v>
      </c>
      <c r="E32" s="29" t="n">
        <f aca="false">-E16+E18*(1-IFERROR($B$27/$B$22,0))</f>
        <v>-3292.416</v>
      </c>
      <c r="F32" s="29" t="n">
        <f aca="false">-F16+F18*(1-IFERROR($B$27/$B$22,0))</f>
        <v>2353.632</v>
      </c>
      <c r="G32" s="29" t="n">
        <f aca="false">-G16+G18*(1-IFERROR($B$27/$B$22,0))</f>
        <v>8922.72</v>
      </c>
      <c r="H32" s="29" t="n">
        <f aca="false">-H16+H18*(1-IFERROR($B$27/$B$22,0))</f>
        <v>12491.808</v>
      </c>
      <c r="I32" s="29" t="n">
        <f aca="false">-I16+I18*(1-IFERROR($B$27/$B$22,0))</f>
        <v>14276.352</v>
      </c>
      <c r="J32" s="29" t="n">
        <f aca="false">-J16+J18*(1-IFERROR($B$27/$B$22,0))</f>
        <v>10707.264</v>
      </c>
      <c r="K32" s="29" t="n">
        <f aca="false">-K16+K18*(1-IFERROR($B$27/$B$22,0))</f>
        <v>7076.64</v>
      </c>
      <c r="L32" s="38" t="n">
        <f aca="false">SUM(B32:K32)</f>
        <v>31536</v>
      </c>
    </row>
    <row r="34" customFormat="false" ht="15" hidden="false" customHeight="true" outlineLevel="0" collapsed="false">
      <c r="A34" s="44" t="s">
        <v>242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customFormat="false" ht="15" hidden="false" customHeight="false" outlineLevel="0" collapsed="false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7" customFormat="false" ht="15" hidden="false" customHeight="false" outlineLevel="0" collapsed="false">
      <c r="A37" s="4" t="s">
        <v>243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7" t="s">
        <v>146</v>
      </c>
      <c r="B38" s="8" t="s">
        <v>244</v>
      </c>
      <c r="C38" s="8" t="s">
        <v>187</v>
      </c>
      <c r="D38" s="8" t="s">
        <v>245</v>
      </c>
    </row>
    <row r="39" customFormat="false" ht="15" hidden="false" customHeight="false" outlineLevel="0" collapsed="false">
      <c r="A39" s="23" t="s">
        <v>246</v>
      </c>
      <c r="B39" s="60" t="n">
        <f aca="false">Допущения!B47</f>
        <v>1.6</v>
      </c>
      <c r="C39" s="60" t="n">
        <f aca="false">Допущения!B45</f>
        <v>2.6</v>
      </c>
      <c r="D39" s="60" t="n">
        <f aca="false">Допущения!B46</f>
        <v>3.5</v>
      </c>
    </row>
    <row r="40" customFormat="false" ht="15" hidden="false" customHeight="false" outlineLevel="0" collapsed="false">
      <c r="A40" s="23" t="s">
        <v>223</v>
      </c>
      <c r="B40" s="29" t="n">
        <f aca="false">$B$21*B39</f>
        <v>42720</v>
      </c>
      <c r="C40" s="29" t="n">
        <f aca="false">$B$21*C39</f>
        <v>69420</v>
      </c>
      <c r="D40" s="29" t="n">
        <f aca="false">$B$21*D39</f>
        <v>93450</v>
      </c>
    </row>
    <row r="41" customFormat="false" ht="15" hidden="false" customHeight="false" outlineLevel="0" collapsed="false">
      <c r="A41" s="23" t="s">
        <v>227</v>
      </c>
      <c r="B41" s="29" t="n">
        <f aca="false">B40-$B$4</f>
        <v>12720</v>
      </c>
      <c r="C41" s="29" t="n">
        <f aca="false">C40-$B$4</f>
        <v>39420</v>
      </c>
      <c r="D41" s="29" t="n">
        <f aca="false">D40-$B$4</f>
        <v>63450</v>
      </c>
    </row>
    <row r="42" customFormat="false" ht="15" hidden="false" customHeight="false" outlineLevel="0" collapsed="false">
      <c r="A42" s="23" t="s">
        <v>231</v>
      </c>
      <c r="B42" s="61" t="str">
        <f aca="false">IF(B41&gt;$B$25,"ДА","НЕТ")</f>
        <v>НЕТ</v>
      </c>
      <c r="C42" s="61" t="str">
        <f aca="false">IF(C41&gt;$B$25,"ДА","НЕТ")</f>
        <v>ДА</v>
      </c>
      <c r="D42" s="61" t="str">
        <f aca="false">IF(D41&gt;$B$25,"ДА","НЕТ")</f>
        <v>ДА</v>
      </c>
    </row>
    <row r="43" customFormat="false" ht="15" hidden="false" customHeight="false" outlineLevel="0" collapsed="false">
      <c r="A43" s="23" t="s">
        <v>247</v>
      </c>
      <c r="B43" s="29" t="n">
        <f aca="false">IF(B41&gt;$B$25,B41*$B$7,0)</f>
        <v>0</v>
      </c>
      <c r="C43" s="29" t="n">
        <f aca="false">IF(C41&gt;$B$25,C41*$B$7,0)</f>
        <v>7884</v>
      </c>
      <c r="D43" s="29" t="n">
        <f aca="false">IF(D41&gt;$B$25,D41*$B$7,0)</f>
        <v>12690</v>
      </c>
    </row>
    <row r="44" customFormat="false" ht="15" hidden="false" customHeight="false" outlineLevel="0" collapsed="false">
      <c r="A44" s="2" t="s">
        <v>236</v>
      </c>
      <c r="B44" s="48" t="n">
        <f aca="false">IFERROR((B40-B43)/$B$4,0)</f>
        <v>1.424</v>
      </c>
      <c r="C44" s="48" t="n">
        <f aca="false">IFERROR((C40-C43)/$B$4,0)</f>
        <v>2.0512</v>
      </c>
      <c r="D44" s="48" t="n">
        <f aca="false">IFERROR((D40-D43)/$B$4,0)</f>
        <v>2.692</v>
      </c>
    </row>
    <row r="45" customFormat="false" ht="15" hidden="false" customHeight="false" outlineLevel="0" collapsed="false">
      <c r="A45" s="2" t="s">
        <v>248</v>
      </c>
      <c r="B45" s="47" t="n">
        <f aca="false">$B$23+B43</f>
        <v>4344.612</v>
      </c>
      <c r="C45" s="47" t="n">
        <f aca="false">$B$23+C43</f>
        <v>12228.612</v>
      </c>
      <c r="D45" s="47" t="n">
        <f aca="false">$B$23+D43</f>
        <v>17034.612</v>
      </c>
    </row>
    <row r="47" customFormat="false" ht="15" hidden="false" customHeight="true" outlineLevel="0" collapsed="false">
      <c r="A47" s="62" t="s">
        <v>249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</row>
    <row r="48" customFormat="false" ht="15" hidden="false" customHeight="fals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</row>
  </sheetData>
  <mergeCells count="7">
    <mergeCell ref="A1:L1"/>
    <mergeCell ref="A3:L3"/>
    <mergeCell ref="A11:L11"/>
    <mergeCell ref="A20:L20"/>
    <mergeCell ref="A34:L35"/>
    <mergeCell ref="A37:L37"/>
    <mergeCell ref="A47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1" t="s">
        <v>250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251</v>
      </c>
      <c r="B3" s="19" t="n">
        <v>0.4</v>
      </c>
    </row>
    <row r="5" customFormat="false" ht="15" hidden="false" customHeight="false" outlineLevel="0" collapsed="false">
      <c r="A5" s="4" t="s">
        <v>252</v>
      </c>
      <c r="B5" s="4"/>
      <c r="C5" s="4"/>
      <c r="D5" s="4"/>
      <c r="E5" s="4"/>
    </row>
    <row r="6" customFormat="false" ht="15" hidden="false" customHeight="false" outlineLevel="0" collapsed="false">
      <c r="A6" s="7" t="s">
        <v>253</v>
      </c>
      <c r="B6" s="8" t="s">
        <v>254</v>
      </c>
      <c r="C6" s="8" t="s">
        <v>255</v>
      </c>
      <c r="D6" s="8" t="s">
        <v>256</v>
      </c>
      <c r="E6" s="7" t="s">
        <v>257</v>
      </c>
    </row>
    <row r="7" customFormat="false" ht="15" hidden="false" customHeight="false" outlineLevel="0" collapsed="false">
      <c r="A7" s="9" t="s">
        <v>258</v>
      </c>
      <c r="B7" s="13" t="n">
        <v>300</v>
      </c>
      <c r="C7" s="13" t="n">
        <v>500</v>
      </c>
      <c r="D7" s="53" t="n">
        <f aca="false">B7+(C7-B7)*$B$3</f>
        <v>380</v>
      </c>
      <c r="E7" s="12" t="s">
        <v>259</v>
      </c>
    </row>
    <row r="8" customFormat="false" ht="15" hidden="false" customHeight="false" outlineLevel="0" collapsed="false">
      <c r="A8" s="9" t="s">
        <v>260</v>
      </c>
      <c r="B8" s="13" t="n">
        <v>300</v>
      </c>
      <c r="C8" s="13" t="n">
        <v>500</v>
      </c>
      <c r="D8" s="53" t="n">
        <f aca="false">B8+(C8-B8)*$B$3</f>
        <v>380</v>
      </c>
      <c r="E8" s="12" t="s">
        <v>261</v>
      </c>
    </row>
    <row r="9" customFormat="false" ht="15" hidden="false" customHeight="false" outlineLevel="0" collapsed="false">
      <c r="A9" s="9" t="s">
        <v>262</v>
      </c>
      <c r="B9" s="13" t="n">
        <v>500</v>
      </c>
      <c r="C9" s="13" t="n">
        <v>1500</v>
      </c>
      <c r="D9" s="53" t="n">
        <f aca="false">B9+(C9-B9)*$B$3</f>
        <v>900</v>
      </c>
      <c r="E9" s="12" t="s">
        <v>263</v>
      </c>
    </row>
    <row r="10" customFormat="false" ht="15" hidden="false" customHeight="false" outlineLevel="0" collapsed="false">
      <c r="A10" s="9" t="s">
        <v>264</v>
      </c>
      <c r="B10" s="13" t="n">
        <v>5000</v>
      </c>
      <c r="C10" s="13" t="n">
        <v>12000</v>
      </c>
      <c r="D10" s="53" t="n">
        <f aca="false">B10+(C10-B10)*$B$3</f>
        <v>7800</v>
      </c>
      <c r="E10" s="12" t="s">
        <v>265</v>
      </c>
    </row>
    <row r="11" customFormat="false" ht="15" hidden="false" customHeight="false" outlineLevel="0" collapsed="false">
      <c r="A11" s="9" t="s">
        <v>266</v>
      </c>
      <c r="B11" s="13" t="n">
        <v>1200</v>
      </c>
      <c r="C11" s="13" t="n">
        <v>2400</v>
      </c>
      <c r="D11" s="53" t="n">
        <f aca="false">B11+(C11-B11)*$B$3</f>
        <v>1680</v>
      </c>
      <c r="E11" s="12" t="s">
        <v>267</v>
      </c>
    </row>
    <row r="12" customFormat="false" ht="15" hidden="false" customHeight="false" outlineLevel="0" collapsed="false">
      <c r="A12" s="9" t="s">
        <v>268</v>
      </c>
      <c r="B12" s="13" t="n">
        <v>1000</v>
      </c>
      <c r="C12" s="13" t="n">
        <v>3000</v>
      </c>
      <c r="D12" s="53" t="n">
        <f aca="false">B12+(C12-B12)*$B$3</f>
        <v>1800</v>
      </c>
      <c r="E12" s="12" t="s">
        <v>269</v>
      </c>
    </row>
    <row r="13" customFormat="false" ht="15" hidden="false" customHeight="false" outlineLevel="0" collapsed="false">
      <c r="A13" s="9" t="s">
        <v>270</v>
      </c>
      <c r="B13" s="13" t="n">
        <v>80000</v>
      </c>
      <c r="C13" s="13" t="n">
        <v>160000</v>
      </c>
      <c r="D13" s="53" t="n">
        <f aca="false">B13+(C13-B13)*$B$3</f>
        <v>112000</v>
      </c>
      <c r="E13" s="12" t="s">
        <v>271</v>
      </c>
    </row>
    <row r="14" customFormat="false" ht="15" hidden="false" customHeight="false" outlineLevel="0" collapsed="false">
      <c r="A14" s="9" t="s">
        <v>272</v>
      </c>
      <c r="B14" s="13" t="n">
        <v>15000</v>
      </c>
      <c r="C14" s="13" t="n">
        <v>30000</v>
      </c>
      <c r="D14" s="53" t="n">
        <f aca="false">B14+(C14-B14)*$B$3</f>
        <v>21000</v>
      </c>
      <c r="E14" s="12" t="s">
        <v>273</v>
      </c>
    </row>
    <row r="15" customFormat="false" ht="15" hidden="false" customHeight="false" outlineLevel="0" collapsed="false">
      <c r="A15" s="9" t="s">
        <v>274</v>
      </c>
      <c r="B15" s="13" t="n">
        <v>8000</v>
      </c>
      <c r="C15" s="13" t="n">
        <v>18000</v>
      </c>
      <c r="D15" s="53" t="n">
        <f aca="false">B15+(C15-B15)*$B$3</f>
        <v>12000</v>
      </c>
      <c r="E15" s="12" t="s">
        <v>275</v>
      </c>
    </row>
    <row r="16" customFormat="false" ht="15" hidden="false" customHeight="false" outlineLevel="0" collapsed="false">
      <c r="A16" s="9" t="s">
        <v>276</v>
      </c>
      <c r="B16" s="13" t="n">
        <v>8000</v>
      </c>
      <c r="C16" s="13" t="n">
        <v>20000</v>
      </c>
      <c r="D16" s="53" t="n">
        <f aca="false">B16+(C16-B16)*$B$3</f>
        <v>12800</v>
      </c>
      <c r="E16" s="12" t="s">
        <v>277</v>
      </c>
    </row>
    <row r="17" customFormat="false" ht="15" hidden="false" customHeight="false" outlineLevel="0" collapsed="false">
      <c r="A17" s="9" t="s">
        <v>278</v>
      </c>
      <c r="B17" s="13" t="n">
        <v>15000</v>
      </c>
      <c r="C17" s="13" t="n">
        <v>35000</v>
      </c>
      <c r="D17" s="53" t="n">
        <f aca="false">B17+(C17-B17)*$B$3</f>
        <v>23000</v>
      </c>
      <c r="E17" s="12" t="s">
        <v>279</v>
      </c>
    </row>
    <row r="18" customFormat="false" ht="15" hidden="false" customHeight="false" outlineLevel="0" collapsed="false">
      <c r="A18" s="9" t="s">
        <v>280</v>
      </c>
      <c r="B18" s="13" t="n">
        <v>8000</v>
      </c>
      <c r="C18" s="13" t="n">
        <v>20000</v>
      </c>
      <c r="D18" s="53" t="n">
        <f aca="false">B18+(C18-B18)*$B$3</f>
        <v>12800</v>
      </c>
      <c r="E18" s="12" t="s">
        <v>281</v>
      </c>
    </row>
    <row r="19" customFormat="false" ht="15" hidden="false" customHeight="false" outlineLevel="0" collapsed="false">
      <c r="A19" s="63" t="s">
        <v>153</v>
      </c>
      <c r="B19" s="47" t="n">
        <f aca="false">SUM(B7:B18)</f>
        <v>142300</v>
      </c>
      <c r="C19" s="47" t="n">
        <f aca="false">SUM(C7:C18)</f>
        <v>302900</v>
      </c>
      <c r="D19" s="47" t="n">
        <f aca="false">SUM(D7:D18)</f>
        <v>206540</v>
      </c>
      <c r="E19" s="64"/>
    </row>
    <row r="21" customFormat="false" ht="15" hidden="false" customHeight="false" outlineLevel="0" collapsed="false">
      <c r="A21" s="4" t="s">
        <v>282</v>
      </c>
      <c r="B21" s="4"/>
      <c r="C21" s="4"/>
      <c r="D21" s="4"/>
      <c r="E21" s="4"/>
    </row>
    <row r="22" customFormat="false" ht="15" hidden="false" customHeight="false" outlineLevel="0" collapsed="false">
      <c r="A22" s="7" t="s">
        <v>253</v>
      </c>
      <c r="B22" s="8" t="s">
        <v>254</v>
      </c>
      <c r="C22" s="8" t="s">
        <v>255</v>
      </c>
      <c r="D22" s="8" t="s">
        <v>256</v>
      </c>
      <c r="E22" s="7" t="s">
        <v>257</v>
      </c>
    </row>
    <row r="23" customFormat="false" ht="15" hidden="false" customHeight="false" outlineLevel="0" collapsed="false">
      <c r="A23" s="9" t="s">
        <v>283</v>
      </c>
      <c r="B23" s="13" t="n">
        <v>106000</v>
      </c>
      <c r="C23" s="13" t="n">
        <v>165000</v>
      </c>
      <c r="D23" s="53" t="n">
        <f aca="false">B23+(C23-B23)*$B$3</f>
        <v>129600</v>
      </c>
      <c r="E23" s="12" t="s">
        <v>284</v>
      </c>
    </row>
    <row r="24" customFormat="false" ht="15" hidden="false" customHeight="false" outlineLevel="0" collapsed="false">
      <c r="A24" s="9" t="s">
        <v>285</v>
      </c>
      <c r="B24" s="13" t="n">
        <v>12000</v>
      </c>
      <c r="C24" s="13" t="n">
        <v>30000</v>
      </c>
      <c r="D24" s="53" t="n">
        <f aca="false">B24+(C24-B24)*$B$3</f>
        <v>19200</v>
      </c>
      <c r="E24" s="12" t="s">
        <v>286</v>
      </c>
    </row>
    <row r="25" customFormat="false" ht="15" hidden="false" customHeight="false" outlineLevel="0" collapsed="false">
      <c r="A25" s="9" t="s">
        <v>287</v>
      </c>
      <c r="B25" s="13" t="n">
        <v>12000</v>
      </c>
      <c r="C25" s="13" t="n">
        <v>36000</v>
      </c>
      <c r="D25" s="53" t="n">
        <f aca="false">B25+(C25-B25)*$B$3</f>
        <v>21600</v>
      </c>
      <c r="E25" s="12" t="s">
        <v>284</v>
      </c>
    </row>
    <row r="26" customFormat="false" ht="15" hidden="false" customHeight="false" outlineLevel="0" collapsed="false">
      <c r="A26" s="9" t="s">
        <v>288</v>
      </c>
      <c r="B26" s="13" t="n">
        <v>6000</v>
      </c>
      <c r="C26" s="13" t="n">
        <v>18000</v>
      </c>
      <c r="D26" s="53" t="n">
        <f aca="false">B26+(C26-B26)*$B$3</f>
        <v>10800</v>
      </c>
      <c r="E26" s="12" t="s">
        <v>289</v>
      </c>
    </row>
    <row r="27" customFormat="false" ht="15" hidden="false" customHeight="false" outlineLevel="0" collapsed="false">
      <c r="A27" s="9" t="s">
        <v>290</v>
      </c>
      <c r="B27" s="13" t="n">
        <v>12000</v>
      </c>
      <c r="C27" s="13" t="n">
        <v>30000</v>
      </c>
      <c r="D27" s="53" t="n">
        <f aca="false">B27+(C27-B27)*$B$3</f>
        <v>19200</v>
      </c>
      <c r="E27" s="12" t="s">
        <v>291</v>
      </c>
    </row>
    <row r="28" customFormat="false" ht="15" hidden="false" customHeight="false" outlineLevel="0" collapsed="false">
      <c r="A28" s="9" t="s">
        <v>292</v>
      </c>
      <c r="B28" s="13" t="n">
        <v>5000</v>
      </c>
      <c r="C28" s="13" t="n">
        <v>12000</v>
      </c>
      <c r="D28" s="53" t="n">
        <f aca="false">B28+(C28-B28)*$B$3</f>
        <v>7800</v>
      </c>
      <c r="E28" s="12" t="s">
        <v>293</v>
      </c>
    </row>
    <row r="29" customFormat="false" ht="15" hidden="false" customHeight="false" outlineLevel="0" collapsed="false">
      <c r="A29" s="9" t="s">
        <v>294</v>
      </c>
      <c r="B29" s="13" t="n">
        <v>30000</v>
      </c>
      <c r="C29" s="13" t="n">
        <v>60000</v>
      </c>
      <c r="D29" s="53" t="n">
        <f aca="false">B29+(C29-B29)*$B$3</f>
        <v>42000</v>
      </c>
      <c r="E29" s="12" t="s">
        <v>295</v>
      </c>
    </row>
    <row r="30" customFormat="false" ht="15" hidden="false" customHeight="false" outlineLevel="0" collapsed="false">
      <c r="A30" s="9" t="s">
        <v>296</v>
      </c>
      <c r="B30" s="13" t="n">
        <v>18000</v>
      </c>
      <c r="C30" s="13" t="n">
        <v>35000</v>
      </c>
      <c r="D30" s="53" t="n">
        <f aca="false">B30+(C30-B30)*$B$3</f>
        <v>24800</v>
      </c>
      <c r="E30" s="12" t="s">
        <v>297</v>
      </c>
    </row>
    <row r="31" customFormat="false" ht="15" hidden="false" customHeight="false" outlineLevel="0" collapsed="false">
      <c r="A31" s="63" t="s">
        <v>153</v>
      </c>
      <c r="B31" s="47" t="n">
        <f aca="false">SUM(B23:B30)</f>
        <v>201000</v>
      </c>
      <c r="C31" s="47" t="n">
        <f aca="false">SUM(C23:C30)</f>
        <v>386000</v>
      </c>
      <c r="D31" s="47" t="n">
        <f aca="false">SUM(D23:D30)</f>
        <v>275000</v>
      </c>
      <c r="E31" s="64"/>
    </row>
    <row r="33" customFormat="false" ht="15" hidden="false" customHeight="false" outlineLevel="0" collapsed="false">
      <c r="A33" s="4" t="s">
        <v>298</v>
      </c>
      <c r="B33" s="4"/>
      <c r="C33" s="4"/>
      <c r="D33" s="4"/>
      <c r="E33" s="4"/>
    </row>
    <row r="34" customFormat="false" ht="15" hidden="false" customHeight="false" outlineLevel="0" collapsed="false">
      <c r="A34" s="7" t="s">
        <v>253</v>
      </c>
      <c r="B34" s="8" t="s">
        <v>254</v>
      </c>
      <c r="C34" s="8" t="s">
        <v>255</v>
      </c>
      <c r="D34" s="8" t="s">
        <v>256</v>
      </c>
      <c r="E34" s="7" t="s">
        <v>257</v>
      </c>
    </row>
    <row r="35" customFormat="false" ht="15" hidden="false" customHeight="false" outlineLevel="0" collapsed="false">
      <c r="A35" s="9" t="s">
        <v>299</v>
      </c>
      <c r="B35" s="13" t="n">
        <v>5000</v>
      </c>
      <c r="C35" s="13" t="n">
        <v>5000</v>
      </c>
      <c r="D35" s="53" t="n">
        <f aca="false">B35+(C35-B35)*$B$3</f>
        <v>5000</v>
      </c>
      <c r="E35" s="12" t="s">
        <v>300</v>
      </c>
    </row>
    <row r="36" customFormat="false" ht="15" hidden="false" customHeight="false" outlineLevel="0" collapsed="false">
      <c r="A36" s="9" t="s">
        <v>301</v>
      </c>
      <c r="B36" s="13" t="n">
        <v>3000</v>
      </c>
      <c r="C36" s="13" t="n">
        <v>3000</v>
      </c>
      <c r="D36" s="53" t="n">
        <f aca="false">B36+(C36-B36)*$B$3</f>
        <v>3000</v>
      </c>
      <c r="E36" s="12" t="s">
        <v>300</v>
      </c>
    </row>
    <row r="37" customFormat="false" ht="15" hidden="false" customHeight="false" outlineLevel="0" collapsed="false">
      <c r="A37" s="9" t="s">
        <v>302</v>
      </c>
      <c r="B37" s="13" t="n">
        <v>25000</v>
      </c>
      <c r="C37" s="13" t="n">
        <v>60000</v>
      </c>
      <c r="D37" s="53" t="n">
        <f aca="false">B37+(C37-B37)*$B$3</f>
        <v>39000</v>
      </c>
      <c r="E37" s="12" t="s">
        <v>303</v>
      </c>
    </row>
    <row r="38" customFormat="false" ht="15" hidden="false" customHeight="false" outlineLevel="0" collapsed="false">
      <c r="A38" s="9" t="s">
        <v>304</v>
      </c>
      <c r="B38" s="13" t="n">
        <v>1000</v>
      </c>
      <c r="C38" s="13" t="n">
        <v>1000</v>
      </c>
      <c r="D38" s="53" t="n">
        <f aca="false">B38+(C38-B38)*$B$3</f>
        <v>1000</v>
      </c>
      <c r="E38" s="12" t="s">
        <v>305</v>
      </c>
    </row>
    <row r="39" customFormat="false" ht="15" hidden="false" customHeight="false" outlineLevel="0" collapsed="false">
      <c r="A39" s="9" t="s">
        <v>306</v>
      </c>
      <c r="B39" s="13" t="n">
        <v>35000</v>
      </c>
      <c r="C39" s="13" t="n">
        <v>90000</v>
      </c>
      <c r="D39" s="53" t="n">
        <f aca="false">B39+(C39-B39)*$B$3</f>
        <v>57000</v>
      </c>
      <c r="E39" s="12" t="s">
        <v>307</v>
      </c>
    </row>
    <row r="40" customFormat="false" ht="15" hidden="false" customHeight="false" outlineLevel="0" collapsed="false">
      <c r="A40" s="9" t="s">
        <v>308</v>
      </c>
      <c r="B40" s="13" t="n">
        <v>25000</v>
      </c>
      <c r="C40" s="13" t="n">
        <v>60000</v>
      </c>
      <c r="D40" s="53" t="n">
        <f aca="false">B40+(C40-B40)*$B$3</f>
        <v>39000</v>
      </c>
      <c r="E40" s="12" t="s">
        <v>309</v>
      </c>
    </row>
    <row r="41" customFormat="false" ht="15" hidden="false" customHeight="false" outlineLevel="0" collapsed="false">
      <c r="A41" s="9" t="s">
        <v>310</v>
      </c>
      <c r="B41" s="13" t="n">
        <v>10000</v>
      </c>
      <c r="C41" s="13" t="n">
        <v>30000</v>
      </c>
      <c r="D41" s="53" t="n">
        <f aca="false">B41+(C41-B41)*$B$3</f>
        <v>18000</v>
      </c>
      <c r="E41" s="12" t="s">
        <v>311</v>
      </c>
    </row>
    <row r="42" customFormat="false" ht="15" hidden="false" customHeight="false" outlineLevel="0" collapsed="false">
      <c r="A42" s="9" t="s">
        <v>312</v>
      </c>
      <c r="B42" s="13" t="n">
        <v>10000</v>
      </c>
      <c r="C42" s="13" t="n">
        <v>25000</v>
      </c>
      <c r="D42" s="53" t="n">
        <f aca="false">B42+(C42-B42)*$B$3</f>
        <v>16000</v>
      </c>
      <c r="E42" s="12" t="s">
        <v>313</v>
      </c>
    </row>
    <row r="43" customFormat="false" ht="15" hidden="false" customHeight="false" outlineLevel="0" collapsed="false">
      <c r="A43" s="9" t="s">
        <v>314</v>
      </c>
      <c r="B43" s="13" t="n">
        <v>6000</v>
      </c>
      <c r="C43" s="13" t="n">
        <v>18000</v>
      </c>
      <c r="D43" s="53" t="n">
        <f aca="false">B43+(C43-B43)*$B$3</f>
        <v>10800</v>
      </c>
      <c r="E43" s="12" t="s">
        <v>315</v>
      </c>
    </row>
    <row r="44" customFormat="false" ht="15" hidden="false" customHeight="false" outlineLevel="0" collapsed="false">
      <c r="A44" s="63" t="s">
        <v>153</v>
      </c>
      <c r="B44" s="47" t="n">
        <f aca="false">SUM(B35:B43)</f>
        <v>120000</v>
      </c>
      <c r="C44" s="47" t="n">
        <f aca="false">SUM(C35:C43)</f>
        <v>292000</v>
      </c>
      <c r="D44" s="47" t="n">
        <f aca="false">SUM(D35:D43)</f>
        <v>188800</v>
      </c>
      <c r="E44" s="64"/>
    </row>
    <row r="46" customFormat="false" ht="15" hidden="false" customHeight="false" outlineLevel="0" collapsed="false">
      <c r="A46" s="2" t="s">
        <v>316</v>
      </c>
      <c r="B46" s="65" t="n">
        <v>50000</v>
      </c>
      <c r="E46" s="66" t="s">
        <v>317</v>
      </c>
    </row>
    <row r="48" customFormat="false" ht="15" hidden="false" customHeight="false" outlineLevel="0" collapsed="false">
      <c r="A48" s="4" t="s">
        <v>318</v>
      </c>
      <c r="B48" s="4"/>
      <c r="C48" s="4"/>
      <c r="D48" s="4"/>
      <c r="E48" s="4"/>
    </row>
    <row r="49" customFormat="false" ht="30" hidden="false" customHeight="true" outlineLevel="0" collapsed="false">
      <c r="A49" s="67" t="s">
        <v>319</v>
      </c>
      <c r="B49" s="50" t="s">
        <v>320</v>
      </c>
      <c r="C49" s="50" t="s">
        <v>321</v>
      </c>
      <c r="D49" s="50" t="s">
        <v>322</v>
      </c>
      <c r="E49" s="50" t="s">
        <v>323</v>
      </c>
    </row>
    <row r="50" customFormat="false" ht="15" hidden="false" customHeight="false" outlineLevel="0" collapsed="false">
      <c r="A50" s="9" t="s">
        <v>324</v>
      </c>
      <c r="B50" s="15" t="n">
        <v>1200000</v>
      </c>
      <c r="C50" s="15" t="n">
        <v>1650000</v>
      </c>
      <c r="D50" s="53" t="n">
        <f aca="false">(B50+(C50-B50)*$B$3)/Допущения!B12</f>
        <v>2936.17021276596</v>
      </c>
      <c r="E50" s="53" t="n">
        <f aca="false">D50*12*(1+$B$55)</f>
        <v>40519.1489361702</v>
      </c>
    </row>
    <row r="51" customFormat="false" ht="15" hidden="false" customHeight="false" outlineLevel="0" collapsed="false">
      <c r="A51" s="9" t="s">
        <v>325</v>
      </c>
      <c r="B51" s="15" t="n">
        <v>1200000</v>
      </c>
      <c r="C51" s="15" t="n">
        <v>1900000</v>
      </c>
      <c r="D51" s="53" t="n">
        <f aca="false">(B51+(C51-B51)*$B$3)/Допущения!B12</f>
        <v>3148.93617021277</v>
      </c>
      <c r="E51" s="53" t="n">
        <f aca="false">D51*12*(1+$B$55)</f>
        <v>43455.3191489362</v>
      </c>
    </row>
    <row r="52" customFormat="false" ht="15" hidden="false" customHeight="false" outlineLevel="0" collapsed="false">
      <c r="A52" s="9" t="s">
        <v>326</v>
      </c>
      <c r="B52" s="15" t="n">
        <v>1400000</v>
      </c>
      <c r="C52" s="15" t="n">
        <v>2350000</v>
      </c>
      <c r="D52" s="53" t="n">
        <f aca="false">(B52+(C52-B52)*$B$3)/Допущения!B12</f>
        <v>3787.23404255319</v>
      </c>
      <c r="E52" s="53" t="n">
        <f aca="false">D52*12*(1+$B$55)</f>
        <v>52263.829787234</v>
      </c>
    </row>
    <row r="53" customFormat="false" ht="15" hidden="false" customHeight="false" outlineLevel="0" collapsed="false">
      <c r="A53" s="9" t="s">
        <v>327</v>
      </c>
      <c r="B53" s="15" t="n">
        <v>950000</v>
      </c>
      <c r="C53" s="15" t="n">
        <v>1400000</v>
      </c>
      <c r="D53" s="53" t="n">
        <f aca="false">(B53+(C53-B53)*$B$3)/Допущения!B12</f>
        <v>2404.25531914894</v>
      </c>
      <c r="E53" s="53" t="n">
        <f aca="false">D53*12*(1+$B$55)</f>
        <v>33178.7234042553</v>
      </c>
    </row>
    <row r="54" customFormat="false" ht="15" hidden="false" customHeight="false" outlineLevel="0" collapsed="false">
      <c r="A54" s="63" t="s">
        <v>328</v>
      </c>
      <c r="B54" s="64"/>
      <c r="C54" s="64"/>
      <c r="D54" s="47" t="n">
        <f aca="false">SUM(D50:D52)</f>
        <v>9872.34042553192</v>
      </c>
      <c r="E54" s="47" t="n">
        <f aca="false">SUM(E50:E52)</f>
        <v>136238.29787234</v>
      </c>
    </row>
    <row r="55" customFormat="false" ht="15" hidden="false" customHeight="false" outlineLevel="0" collapsed="false">
      <c r="A55" s="2" t="s">
        <v>329</v>
      </c>
      <c r="B55" s="68" t="n">
        <v>0.15</v>
      </c>
      <c r="E55" s="69" t="s">
        <v>330</v>
      </c>
    </row>
    <row r="57" customFormat="false" ht="15" hidden="false" customHeight="false" outlineLevel="0" collapsed="false">
      <c r="A57" s="4" t="s">
        <v>331</v>
      </c>
      <c r="B57" s="4"/>
      <c r="C57" s="4"/>
      <c r="D57" s="4"/>
      <c r="E57" s="4"/>
    </row>
    <row r="58" customFormat="false" ht="15" hidden="false" customHeight="false" outlineLevel="0" collapsed="false">
      <c r="A58" s="70" t="s">
        <v>332</v>
      </c>
      <c r="B58" s="8" t="s">
        <v>333</v>
      </c>
      <c r="C58" s="8" t="s">
        <v>334</v>
      </c>
      <c r="D58" s="8" t="s">
        <v>335</v>
      </c>
      <c r="E58" s="8" t="s">
        <v>257</v>
      </c>
    </row>
    <row r="59" customFormat="false" ht="15" hidden="false" customHeight="false" outlineLevel="0" collapsed="false">
      <c r="A59" s="9" t="s">
        <v>336</v>
      </c>
      <c r="B59" s="13" t="n">
        <v>300</v>
      </c>
      <c r="C59" s="13" t="n">
        <v>900</v>
      </c>
      <c r="D59" s="53" t="n">
        <f aca="false">B59+(C59-B59)*$B$3</f>
        <v>540</v>
      </c>
      <c r="E59" s="12" t="s">
        <v>337</v>
      </c>
    </row>
    <row r="60" customFormat="false" ht="15" hidden="false" customHeight="false" outlineLevel="0" collapsed="false">
      <c r="A60" s="9" t="s">
        <v>338</v>
      </c>
      <c r="B60" s="13" t="n">
        <v>100</v>
      </c>
      <c r="C60" s="13" t="n">
        <v>250</v>
      </c>
      <c r="D60" s="53" t="n">
        <f aca="false">B60+(C60-B60)*$B$3</f>
        <v>160</v>
      </c>
      <c r="E60" s="12" t="s">
        <v>339</v>
      </c>
    </row>
    <row r="61" customFormat="false" ht="15" hidden="false" customHeight="false" outlineLevel="0" collapsed="false">
      <c r="A61" s="9" t="s">
        <v>340</v>
      </c>
      <c r="B61" s="13" t="n">
        <v>150</v>
      </c>
      <c r="C61" s="13" t="n">
        <v>400</v>
      </c>
      <c r="D61" s="53" t="n">
        <f aca="false">B61+(C61-B61)*$B$3</f>
        <v>250</v>
      </c>
      <c r="E61" s="12" t="s">
        <v>341</v>
      </c>
    </row>
    <row r="62" customFormat="false" ht="15" hidden="false" customHeight="false" outlineLevel="0" collapsed="false">
      <c r="A62" s="9" t="s">
        <v>342</v>
      </c>
      <c r="B62" s="13" t="n">
        <v>100</v>
      </c>
      <c r="C62" s="13" t="n">
        <v>500</v>
      </c>
      <c r="D62" s="53" t="n">
        <f aca="false">B62+(C62-B62)*$B$3</f>
        <v>260</v>
      </c>
      <c r="E62" s="12" t="s">
        <v>343</v>
      </c>
    </row>
    <row r="63" customFormat="false" ht="15" hidden="false" customHeight="false" outlineLevel="0" collapsed="false">
      <c r="A63" s="9" t="s">
        <v>344</v>
      </c>
      <c r="B63" s="13" t="n">
        <v>200</v>
      </c>
      <c r="C63" s="13" t="n">
        <v>600</v>
      </c>
      <c r="D63" s="53" t="n">
        <f aca="false">B63+(C63-B63)*$B$3</f>
        <v>360</v>
      </c>
      <c r="E63" s="12" t="s">
        <v>345</v>
      </c>
    </row>
    <row r="64" customFormat="false" ht="15" hidden="false" customHeight="false" outlineLevel="0" collapsed="false">
      <c r="A64" s="9" t="s">
        <v>346</v>
      </c>
      <c r="B64" s="13" t="n">
        <v>150</v>
      </c>
      <c r="C64" s="13" t="n">
        <v>350</v>
      </c>
      <c r="D64" s="53" t="n">
        <f aca="false">B64+(C64-B64)*$B$3</f>
        <v>230</v>
      </c>
      <c r="E64" s="12" t="s">
        <v>347</v>
      </c>
    </row>
    <row r="65" customFormat="false" ht="15" hidden="false" customHeight="false" outlineLevel="0" collapsed="false">
      <c r="A65" s="9" t="s">
        <v>348</v>
      </c>
      <c r="B65" s="13" t="n">
        <v>0</v>
      </c>
      <c r="C65" s="13" t="n">
        <v>0</v>
      </c>
      <c r="D65" s="53" t="n">
        <f aca="false">B65+(C65-B65)*$B$3</f>
        <v>0</v>
      </c>
      <c r="E65" s="12" t="s">
        <v>349</v>
      </c>
    </row>
    <row r="66" customFormat="false" ht="15" hidden="false" customHeight="false" outlineLevel="0" collapsed="false">
      <c r="A66" s="63" t="s">
        <v>350</v>
      </c>
      <c r="B66" s="47" t="n">
        <f aca="false">SUM(B59:B65)</f>
        <v>1000</v>
      </c>
      <c r="C66" s="47" t="n">
        <f aca="false">SUM(C59:C65)</f>
        <v>3000</v>
      </c>
      <c r="D66" s="47" t="n">
        <f aca="false">SUM(D59:D65)</f>
        <v>1800</v>
      </c>
      <c r="E66" s="64"/>
    </row>
    <row r="67" customFormat="false" ht="15" hidden="false" customHeight="false" outlineLevel="0" collapsed="false">
      <c r="A67" s="63" t="s">
        <v>351</v>
      </c>
      <c r="B67" s="47" t="n">
        <f aca="false">B66*12</f>
        <v>12000</v>
      </c>
      <c r="C67" s="47" t="n">
        <f aca="false">C66*12</f>
        <v>36000</v>
      </c>
      <c r="D67" s="47" t="n">
        <f aca="false">D66*12</f>
        <v>21600</v>
      </c>
      <c r="E67" s="64"/>
    </row>
    <row r="69" customFormat="false" ht="15" hidden="false" customHeight="false" outlineLevel="0" collapsed="false">
      <c r="A69" s="4" t="s">
        <v>352</v>
      </c>
      <c r="B69" s="4"/>
      <c r="C69" s="4"/>
      <c r="D69" s="4"/>
      <c r="E69" s="4"/>
    </row>
    <row r="70" customFormat="false" ht="15" hidden="false" customHeight="false" outlineLevel="0" collapsed="false">
      <c r="A70" s="2" t="s">
        <v>353</v>
      </c>
      <c r="B70" s="40" t="n">
        <f aca="false">D19</f>
        <v>206540</v>
      </c>
    </row>
    <row r="71" customFormat="false" ht="15" hidden="false" customHeight="false" outlineLevel="0" collapsed="false">
      <c r="A71" s="2" t="s">
        <v>354</v>
      </c>
      <c r="B71" s="40" t="n">
        <f aca="false">D31</f>
        <v>275000</v>
      </c>
    </row>
    <row r="72" customFormat="false" ht="22.35" hidden="false" customHeight="false" outlineLevel="0" collapsed="false">
      <c r="A72" s="2" t="s">
        <v>355</v>
      </c>
      <c r="B72" s="40" t="n">
        <f aca="false">B70+B71</f>
        <v>481540</v>
      </c>
      <c r="E72" s="71" t="s">
        <v>356</v>
      </c>
    </row>
    <row r="73" customFormat="false" ht="15" hidden="false" customHeight="false" outlineLevel="0" collapsed="false">
      <c r="A73" s="2" t="s">
        <v>357</v>
      </c>
      <c r="B73" s="40" t="n">
        <f aca="false">D44</f>
        <v>188800</v>
      </c>
    </row>
  </sheetData>
  <mergeCells count="7">
    <mergeCell ref="A1:E1"/>
    <mergeCell ref="A5:E5"/>
    <mergeCell ref="A21:E21"/>
    <mergeCell ref="A33:E33"/>
    <mergeCell ref="A48:E48"/>
    <mergeCell ref="A57:E57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2026-08-10T21:38:55Z</dcterms:created>
  <dc:creator>openpyxl</dc:creator>
  <dc:description/>
  <dc:language>en-US</dc:language>
  <cp:lastModifiedBy/>
  <dcterms:modified xsi:type="dcterms:W3CDTF">2026-08-10T21:38:55Z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